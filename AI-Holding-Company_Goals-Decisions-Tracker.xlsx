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MA Escalation Rules" sheetId="2" state="visible" r:id="rId2"/>
    <sheet xmlns:r="http://schemas.openxmlformats.org/officeDocument/2006/relationships" name="Guardrails G1-G7" sheetId="3" state="visible" r:id="rId3"/>
    <sheet xmlns:r="http://schemas.openxmlformats.org/officeDocument/2006/relationships" name="Goals" sheetId="4" state="visible" r:id="rId4"/>
    <sheet xmlns:r="http://schemas.openxmlformats.org/officeDocument/2006/relationships" name="Plans" sheetId="5" state="visible" r:id="rId5"/>
    <sheet xmlns:r="http://schemas.openxmlformats.org/officeDocument/2006/relationships" name="Decisions Pending" sheetId="6" state="visible" r:id="rId6"/>
    <sheet xmlns:r="http://schemas.openxmlformats.org/officeDocument/2006/relationships" name="Execution Log" sheetId="7" state="visible" r:id="rId7"/>
    <sheet xmlns:r="http://schemas.openxmlformats.org/officeDocument/2006/relationships" name="Reports" sheetId="8" state="visible" r:id="rId8"/>
    <sheet xmlns:r="http://schemas.openxmlformats.org/officeDocument/2006/relationships" name="Time Saved" sheetId="9" state="visible" r:id="rId9"/>
    <sheet xmlns:r="http://schemas.openxmlformats.org/officeDocument/2006/relationships" name="Model Architecture"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22"/>
    </font>
    <font>
      <name val="Arial"/>
      <charset val="1"/>
      <family val="0"/>
      <i val="1"/>
      <color rgb="FF595959"/>
      <sz val="11"/>
    </font>
    <font>
      <name val="Arial"/>
      <charset val="1"/>
      <family val="0"/>
      <b val="1"/>
      <color rgb="FF1F3864"/>
      <sz val="12"/>
    </font>
    <font>
      <name val="Arial"/>
      <charset val="1"/>
      <family val="0"/>
      <sz val="10"/>
    </font>
    <font>
      <name val="Arial"/>
      <charset val="1"/>
      <family val="0"/>
      <b val="1"/>
      <color rgb="FF1F2937"/>
      <sz val="10"/>
    </font>
    <font>
      <name val="Arial"/>
      <charset val="1"/>
      <family val="0"/>
      <b val="1"/>
      <color rgb="FF006100"/>
      <sz val="10"/>
    </font>
    <font>
      <name val="Arial"/>
      <charset val="1"/>
      <family val="0"/>
      <b val="1"/>
      <color rgb="FF9C5700"/>
      <sz val="10"/>
    </font>
    <font>
      <name val="Arial"/>
      <charset val="1"/>
      <family val="0"/>
      <b val="1"/>
      <color rgb="FF9C0006"/>
      <sz val="10"/>
    </font>
    <font>
      <name val="Arial"/>
      <charset val="1"/>
      <family val="0"/>
      <b val="1"/>
      <color rgb="FF1F3864"/>
      <sz val="16"/>
    </font>
    <font>
      <name val="Arial"/>
      <charset val="1"/>
      <family val="0"/>
      <i val="1"/>
      <color rgb="FF595959"/>
      <sz val="9"/>
    </font>
    <font>
      <name val="Arial"/>
      <charset val="1"/>
      <family val="0"/>
      <b val="1"/>
      <color rgb="FFFFFFFF"/>
      <sz val="10"/>
    </font>
    <font>
      <name val="Arial"/>
      <charset val="1"/>
      <family val="0"/>
      <color rgb="FF1F2937"/>
      <sz val="10"/>
    </font>
    <font>
      <name val="Arial"/>
      <charset val="1"/>
      <family val="0"/>
      <b val="1"/>
      <color rgb="FFFFFFFF"/>
      <sz val="11"/>
    </font>
    <font>
      <name val="Courier New"/>
      <charset val="1"/>
      <family val="0"/>
      <color rgb="FF1F2937"/>
      <sz val="10"/>
    </font>
    <font>
      <name val="Arial"/>
      <charset val="1"/>
      <family val="0"/>
      <b val="1"/>
      <color rgb="FF1F3864"/>
      <sz val="14"/>
    </font>
    <font>
      <name val="Arial"/>
      <charset val="1"/>
      <family val="0"/>
      <color rgb="FF0000FF"/>
      <sz val="10"/>
    </font>
    <font>
      <name val="Arial"/>
      <charset val="1"/>
      <family val="0"/>
      <b val="1"/>
      <color rgb="FF1F3864"/>
      <sz val="11"/>
    </font>
    <font>
      <name val="Arial"/>
      <charset val="1"/>
      <family val="0"/>
      <b val="1"/>
      <sz val="10"/>
    </font>
    <font>
      <name val="Arial"/>
      <b val="1"/>
      <color rgb="001F3864"/>
      <sz val="16"/>
    </font>
    <font>
      <name val="Arial"/>
      <i val="1"/>
      <color rgb="00595959"/>
      <sz val="9"/>
    </font>
    <font>
      <name val="Arial"/>
      <b val="1"/>
      <color rgb="00FFFFFF"/>
      <sz val="11"/>
    </font>
    <font>
      <name val="Arial"/>
      <b val="1"/>
      <color rgb="009C5700"/>
      <sz val="10"/>
    </font>
    <font>
      <name val="Arial"/>
      <color rgb="001F2937"/>
      <sz val="10"/>
    </font>
    <font>
      <name val="Arial"/>
      <b val="1"/>
      <color rgb="001F3864"/>
      <sz val="12"/>
    </font>
    <font>
      <name val="Arial"/>
      <b val="1"/>
      <color rgb="001F2937"/>
      <sz val="10"/>
    </font>
  </fonts>
  <fills count="14">
    <fill>
      <patternFill/>
    </fill>
    <fill>
      <patternFill patternType="gray125"/>
    </fill>
    <fill>
      <patternFill patternType="solid">
        <fgColor rgb="FFC6EFCE"/>
        <bgColor rgb="FFD9E2F3"/>
      </patternFill>
    </fill>
    <fill>
      <patternFill patternType="solid">
        <fgColor rgb="FFFFEB9C"/>
        <bgColor rgb="FFE7E6E6"/>
      </patternFill>
    </fill>
    <fill>
      <patternFill patternType="solid">
        <fgColor rgb="FFFFC7CE"/>
        <bgColor rgb="FFE7E6E6"/>
      </patternFill>
    </fill>
    <fill>
      <patternFill patternType="solid">
        <fgColor rgb="FFE7E6E6"/>
        <bgColor rgb="FFD9E2F3"/>
      </patternFill>
    </fill>
    <fill>
      <patternFill patternType="solid">
        <fgColor rgb="FF1F3864"/>
        <bgColor rgb="FF1F2937"/>
      </patternFill>
    </fill>
    <fill>
      <patternFill patternType="solid">
        <fgColor rgb="FF2E4B8A"/>
        <bgColor rgb="FF1F3864"/>
      </patternFill>
    </fill>
    <fill>
      <patternFill patternType="solid">
        <fgColor rgb="FFD9E2F3"/>
        <bgColor rgb="FFE7E6E6"/>
      </patternFill>
    </fill>
    <fill>
      <patternFill patternType="solid">
        <fgColor rgb="001F3864"/>
      </patternFill>
    </fill>
    <fill>
      <patternFill patternType="solid">
        <fgColor rgb="00FFEB9C"/>
      </patternFill>
    </fill>
    <fill>
      <patternFill patternType="solid">
        <fgColor rgb="00E7E6E6"/>
      </patternFill>
    </fill>
    <fill>
      <patternFill patternType="solid">
        <fgColor rgb="002E4B8A"/>
      </patternFill>
    </fill>
    <fill>
      <patternFill patternType="solid">
        <fgColor rgb="00D9E2F3"/>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9" fillId="2" borderId="0" applyAlignment="1" pivotButton="0" quotePrefix="0" xfId="0">
      <alignment horizontal="center" vertical="center"/>
    </xf>
    <xf numFmtId="0" fontId="10" fillId="3" borderId="0" applyAlignment="1" pivotButton="0" quotePrefix="0" xfId="0">
      <alignment horizontal="center" vertical="center"/>
    </xf>
    <xf numFmtId="0" fontId="11" fillId="4" borderId="0" applyAlignment="1" pivotButton="0" quotePrefix="0" xfId="0">
      <alignment horizontal="center" vertical="center"/>
    </xf>
    <xf numFmtId="0" fontId="8" fillId="5" borderId="0" applyAlignment="1" pivotButton="0" quotePrefix="0" xfId="0">
      <alignment horizontal="center" vertical="center"/>
    </xf>
    <xf numFmtId="0" fontId="12" fillId="0" borderId="0" applyAlignment="1" pivotButton="0" quotePrefix="0" xfId="0">
      <alignment horizontal="general" vertical="bottom"/>
    </xf>
    <xf numFmtId="0" fontId="13" fillId="0" borderId="0" applyAlignment="1" pivotButton="0" quotePrefix="0" xfId="0">
      <alignment horizontal="general" vertical="bottom" wrapText="1"/>
    </xf>
    <xf numFmtId="0" fontId="6" fillId="0" borderId="0" applyAlignment="1" pivotButton="0" quotePrefix="0" xfId="0">
      <alignment horizontal="general" vertical="bottom"/>
    </xf>
    <xf numFmtId="0" fontId="14" fillId="6" borderId="1" applyAlignment="1" pivotButton="0" quotePrefix="0" xfId="0">
      <alignment horizontal="left" vertical="center"/>
    </xf>
    <xf numFmtId="0" fontId="15" fillId="0" borderId="1" applyAlignment="1" pivotButton="0" quotePrefix="0" xfId="0">
      <alignment horizontal="general" vertical="top" wrapText="1"/>
    </xf>
    <xf numFmtId="0" fontId="14" fillId="7" borderId="1" applyAlignment="1" pivotButton="0" quotePrefix="0" xfId="0">
      <alignment horizontal="left" vertical="center"/>
    </xf>
    <xf numFmtId="0" fontId="8" fillId="5" borderId="1" applyAlignment="1" pivotButton="0" quotePrefix="0" xfId="0">
      <alignment horizontal="left" vertical="center"/>
    </xf>
    <xf numFmtId="0" fontId="16" fillId="6" borderId="1" applyAlignment="1" pivotButton="0" quotePrefix="0" xfId="0">
      <alignment horizontal="left" vertical="center" wrapText="1"/>
    </xf>
    <xf numFmtId="0" fontId="8" fillId="0" borderId="1" applyAlignment="1" pivotButton="0" quotePrefix="0" xfId="0">
      <alignment horizontal="center" vertical="top" wrapText="1"/>
    </xf>
    <xf numFmtId="0" fontId="11" fillId="4" borderId="1" applyAlignment="1" pivotButton="0" quotePrefix="0" xfId="0">
      <alignment horizontal="left" vertical="top" wrapText="1"/>
    </xf>
    <xf numFmtId="0" fontId="15" fillId="0" borderId="1" applyAlignment="1" pivotButton="0" quotePrefix="0" xfId="0">
      <alignment horizontal="center" vertical="top" wrapText="1"/>
    </xf>
    <xf numFmtId="0" fontId="16" fillId="7" borderId="1" applyAlignment="1" pivotButton="0" quotePrefix="0" xfId="0">
      <alignment horizontal="left" vertical="center" wrapText="1"/>
    </xf>
    <xf numFmtId="0" fontId="9" fillId="2" borderId="1" applyAlignment="1" pivotButton="0" quotePrefix="0" xfId="0">
      <alignment horizontal="left" vertical="top" wrapText="1"/>
    </xf>
    <xf numFmtId="0" fontId="17" fillId="3" borderId="1" applyAlignment="1" pivotButton="0" quotePrefix="0" xfId="0">
      <alignment horizontal="general" vertical="top" wrapText="1"/>
    </xf>
    <xf numFmtId="0" fontId="18" fillId="0" borderId="0" applyAlignment="1" pivotButton="0" quotePrefix="0" xfId="0">
      <alignment horizontal="left" vertical="center"/>
    </xf>
    <xf numFmtId="0" fontId="13" fillId="0" borderId="0" applyAlignment="1" pivotButton="0" quotePrefix="0" xfId="0">
      <alignment horizontal="left" vertical="center" wrapText="1"/>
    </xf>
    <xf numFmtId="0" fontId="8" fillId="0" borderId="1" applyAlignment="1" pivotButton="0" quotePrefix="0" xfId="0">
      <alignment horizontal="left" vertical="top" wrapText="1"/>
    </xf>
    <xf numFmtId="164" fontId="15" fillId="0" borderId="1" applyAlignment="1" pivotButton="0" quotePrefix="0" xfId="0">
      <alignment horizontal="left" vertical="top" wrapText="1"/>
    </xf>
    <xf numFmtId="0" fontId="15" fillId="0" borderId="1" applyAlignment="1" pivotButton="0" quotePrefix="0" xfId="0">
      <alignment horizontal="left" vertical="top" wrapText="1"/>
    </xf>
    <xf numFmtId="164" fontId="8" fillId="0" borderId="1" applyAlignment="1" pivotButton="0" quotePrefix="0" xfId="0">
      <alignment horizontal="left" vertical="top" wrapText="1"/>
    </xf>
    <xf numFmtId="164" fontId="0" fillId="0" borderId="1" applyAlignment="1" pivotButton="0" quotePrefix="0" xfId="0">
      <alignment horizontal="left" vertical="center" wrapText="1"/>
    </xf>
    <xf numFmtId="0" fontId="19"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0" fillId="8" borderId="1" applyAlignment="1" pivotButton="0" quotePrefix="0" xfId="0">
      <alignment horizontal="left" vertical="center"/>
    </xf>
    <xf numFmtId="0" fontId="20" fillId="8" borderId="1" applyAlignment="1" pivotButton="0" quotePrefix="0" xfId="0">
      <alignment horizontal="center" vertical="center"/>
    </xf>
    <xf numFmtId="0" fontId="12" fillId="0" borderId="0" applyAlignment="1" pivotButton="0" quotePrefix="0" xfId="0">
      <alignment horizontal="general" vertical="bottom"/>
    </xf>
    <xf numFmtId="0" fontId="21" fillId="0" borderId="1" applyAlignment="1" pivotButton="0" quotePrefix="0" xfId="0">
      <alignment horizontal="left" vertical="top" wrapText="1"/>
    </xf>
    <xf numFmtId="0" fontId="7" fillId="0" borderId="1" applyAlignment="1" pivotButton="0" quotePrefix="0" xfId="0">
      <alignment horizontal="left" vertical="top" wrapText="1"/>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9" fillId="2" borderId="1" applyAlignment="1" pivotButton="0" quotePrefix="0" xfId="0">
      <alignment horizontal="center" vertical="top" wrapText="1"/>
    </xf>
    <xf numFmtId="0" fontId="10" fillId="3" borderId="1" applyAlignment="1" pivotButton="0" quotePrefix="0" xfId="0">
      <alignment horizontal="center" vertical="top" wrapText="1"/>
    </xf>
    <xf numFmtId="0" fontId="11" fillId="4" borderId="1" applyAlignment="1" pivotButton="0" quotePrefix="0" xfId="0">
      <alignment horizontal="center" vertical="top" wrapText="1"/>
    </xf>
    <xf numFmtId="0" fontId="8" fillId="5"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9" fillId="2" borderId="0" applyAlignment="1" pivotButton="0" quotePrefix="0" xfId="0">
      <alignment horizontal="center" vertical="center"/>
    </xf>
    <xf numFmtId="0" fontId="10" fillId="3" borderId="0" applyAlignment="1" pivotButton="0" quotePrefix="0" xfId="0">
      <alignment horizontal="center" vertical="center"/>
    </xf>
    <xf numFmtId="0" fontId="11" fillId="4" borderId="0" applyAlignment="1" pivotButton="0" quotePrefix="0" xfId="0">
      <alignment horizontal="center" vertical="center"/>
    </xf>
    <xf numFmtId="0" fontId="8" fillId="5" borderId="0" applyAlignment="1" pivotButton="0" quotePrefix="0" xfId="0">
      <alignment horizontal="center" vertical="center"/>
    </xf>
    <xf numFmtId="0" fontId="12" fillId="0" borderId="0" applyAlignment="1" pivotButton="0" quotePrefix="0" xfId="0">
      <alignment horizontal="general" vertical="bottom"/>
    </xf>
    <xf numFmtId="0" fontId="13" fillId="0" borderId="0" applyAlignment="1" pivotButton="0" quotePrefix="0" xfId="0">
      <alignment horizontal="general" vertical="bottom" wrapText="1"/>
    </xf>
    <xf numFmtId="0" fontId="14" fillId="6" borderId="1" applyAlignment="1" pivotButton="0" quotePrefix="0" xfId="0">
      <alignment horizontal="left" vertical="center"/>
    </xf>
    <xf numFmtId="0" fontId="15"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14" fillId="7" borderId="1" applyAlignment="1" pivotButton="0" quotePrefix="0" xfId="0">
      <alignment horizontal="left" vertical="center"/>
    </xf>
    <xf numFmtId="0" fontId="8" fillId="5" borderId="1" applyAlignment="1" pivotButton="0" quotePrefix="0" xfId="0">
      <alignment horizontal="left" vertical="center"/>
    </xf>
    <xf numFmtId="0" fontId="16" fillId="6" borderId="1" applyAlignment="1" pivotButton="0" quotePrefix="0" xfId="0">
      <alignment horizontal="left" vertical="center" wrapText="1"/>
    </xf>
    <xf numFmtId="0" fontId="8" fillId="0" borderId="1" applyAlignment="1" pivotButton="0" quotePrefix="0" xfId="0">
      <alignment horizontal="center" vertical="top" wrapText="1"/>
    </xf>
    <xf numFmtId="0" fontId="11" fillId="4" borderId="1" applyAlignment="1" pivotButton="0" quotePrefix="0" xfId="0">
      <alignment horizontal="left" vertical="top" wrapText="1"/>
    </xf>
    <xf numFmtId="0" fontId="15" fillId="0" borderId="1" applyAlignment="1" pivotButton="0" quotePrefix="0" xfId="0">
      <alignment horizontal="center" vertical="top" wrapText="1"/>
    </xf>
    <xf numFmtId="0" fontId="16" fillId="7" borderId="1" applyAlignment="1" pivotButton="0" quotePrefix="0" xfId="0">
      <alignment horizontal="left" vertical="center" wrapText="1"/>
    </xf>
    <xf numFmtId="0" fontId="9" fillId="2" borderId="1" applyAlignment="1" pivotButton="0" quotePrefix="0" xfId="0">
      <alignment horizontal="left" vertical="top" wrapText="1"/>
    </xf>
    <xf numFmtId="0" fontId="17" fillId="3" borderId="1" applyAlignment="1" pivotButton="0" quotePrefix="0" xfId="0">
      <alignment horizontal="general" vertical="top" wrapText="1"/>
    </xf>
    <xf numFmtId="0" fontId="22" fillId="0" borderId="0" pivotButton="0" quotePrefix="0" xfId="0"/>
    <xf numFmtId="0" fontId="23" fillId="0" borderId="0" applyAlignment="1" pivotButton="0" quotePrefix="0" xfId="0">
      <alignment wrapText="1"/>
    </xf>
    <xf numFmtId="0" fontId="24" fillId="9" borderId="6" applyAlignment="1" pivotButton="0" quotePrefix="0" xfId="0">
      <alignment horizontal="left" vertical="center" wrapText="1"/>
    </xf>
    <xf numFmtId="0" fontId="25" fillId="10" borderId="6" applyAlignment="1" pivotButton="0" quotePrefix="0" xfId="0">
      <alignment horizontal="center" vertical="top" wrapText="1"/>
    </xf>
    <xf numFmtId="0" fontId="25" fillId="10" borderId="6" applyAlignment="1" pivotButton="0" quotePrefix="0" xfId="0">
      <alignment horizontal="left" vertical="top" wrapText="1"/>
    </xf>
    <xf numFmtId="0" fontId="26" fillId="0" borderId="6" applyAlignment="1" pivotButton="0" quotePrefix="0" xfId="0">
      <alignment horizontal="left" vertical="top" wrapText="1"/>
    </xf>
    <xf numFmtId="0" fontId="26" fillId="11" borderId="6" applyAlignment="1" pivotButton="0" quotePrefix="0" xfId="0">
      <alignment horizontal="left" vertical="top" wrapText="1"/>
    </xf>
    <xf numFmtId="0" fontId="26" fillId="0" borderId="6" applyAlignment="1" pivotButton="0" quotePrefix="0" xfId="0">
      <alignment horizontal="center" vertical="top" wrapText="1"/>
    </xf>
    <xf numFmtId="0" fontId="27" fillId="0" borderId="0" pivotButton="0" quotePrefix="0" xfId="0"/>
    <xf numFmtId="0" fontId="24" fillId="12" borderId="6" applyAlignment="1" pivotButton="0" quotePrefix="0" xfId="0">
      <alignment horizontal="left" vertical="center" wrapText="1"/>
    </xf>
    <xf numFmtId="0" fontId="0" fillId="0" borderId="9" pivotButton="0" quotePrefix="0" xfId="0"/>
    <xf numFmtId="0" fontId="0" fillId="0" borderId="10" pivotButton="0" quotePrefix="0" xfId="0"/>
    <xf numFmtId="0" fontId="28" fillId="0" borderId="6" applyAlignment="1" pivotButton="0" quotePrefix="0" xfId="0">
      <alignment horizontal="center" vertical="top" wrapText="1"/>
    </xf>
    <xf numFmtId="0" fontId="28" fillId="13" borderId="6" applyAlignment="1" pivotButton="0" quotePrefix="0" xfId="0">
      <alignment horizontal="left" vertical="top" wrapText="1"/>
    </xf>
    <xf numFmtId="0" fontId="26" fillId="0" borderId="6" applyAlignment="1" pivotButton="0" quotePrefix="0" xfId="0">
      <alignment vertical="top" wrapText="1"/>
    </xf>
    <xf numFmtId="0" fontId="18" fillId="0" borderId="0" applyAlignment="1" pivotButton="0" quotePrefix="0" xfId="0">
      <alignment horizontal="left" vertical="center"/>
    </xf>
    <xf numFmtId="0" fontId="13" fillId="0" borderId="0" applyAlignment="1" pivotButton="0" quotePrefix="0" xfId="0">
      <alignment horizontal="left" vertical="center" wrapText="1"/>
    </xf>
    <xf numFmtId="0" fontId="8" fillId="0" borderId="1" applyAlignment="1" pivotButton="0" quotePrefix="0" xfId="0">
      <alignment horizontal="left" vertical="top" wrapText="1"/>
    </xf>
    <xf numFmtId="164" fontId="15" fillId="0" borderId="1" applyAlignment="1" pivotButton="0" quotePrefix="0" xfId="0">
      <alignment horizontal="left" vertical="top" wrapText="1"/>
    </xf>
    <xf numFmtId="0" fontId="15" fillId="0" borderId="1" applyAlignment="1" pivotButton="0" quotePrefix="0" xfId="0">
      <alignment horizontal="left" vertical="top" wrapText="1"/>
    </xf>
    <xf numFmtId="164" fontId="8" fillId="0" borderId="1" applyAlignment="1" pivotButton="0" quotePrefix="0" xfId="0">
      <alignment horizontal="left" vertical="top" wrapText="1"/>
    </xf>
    <xf numFmtId="164" fontId="0" fillId="0" borderId="1" applyAlignment="1" pivotButton="0" quotePrefix="0" xfId="0">
      <alignment horizontal="left" vertical="center" wrapText="1"/>
    </xf>
    <xf numFmtId="0" fontId="19"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0" fillId="8" borderId="1" applyAlignment="1" pivotButton="0" quotePrefix="0" xfId="0">
      <alignment horizontal="left" vertical="center"/>
    </xf>
    <xf numFmtId="0" fontId="20" fillId="8" borderId="1" applyAlignment="1" pivotButton="0" quotePrefix="0" xfId="0">
      <alignment horizontal="center" vertical="center"/>
    </xf>
    <xf numFmtId="0" fontId="21" fillId="0" borderId="1" applyAlignment="1" pivotButton="0" quotePrefix="0" xfId="0">
      <alignment horizontal="left" vertical="top" wrapText="1"/>
    </xf>
    <xf numFmtId="0" fontId="7" fillId="0" borderId="1" applyAlignment="1" pivotButton="0" quotePrefix="0" xfId="0">
      <alignment horizontal="left" vertical="top" wrapText="1"/>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9" fillId="2" borderId="1" applyAlignment="1" pivotButton="0" quotePrefix="0" xfId="0">
      <alignment horizontal="center" vertical="top" wrapText="1"/>
    </xf>
    <xf numFmtId="0" fontId="10" fillId="3" borderId="1" applyAlignment="1" pivotButton="0" quotePrefix="0" xfId="0">
      <alignment horizontal="center" vertical="top" wrapText="1"/>
    </xf>
    <xf numFmtId="0" fontId="11" fillId="4" borderId="1" applyAlignment="1" pivotButton="0" quotePrefix="0" xfId="0">
      <alignment horizontal="center" vertical="top" wrapText="1"/>
    </xf>
    <xf numFmtId="0" fontId="8" fillId="5"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rial"/>
        <charset val="1"/>
        <family val="0"/>
        <b val="1"/>
        <color rgb="FF006100"/>
        <sz val="10"/>
      </font>
      <fill>
        <patternFill>
          <bgColor rgb="FFC6EFCE"/>
        </patternFill>
      </fill>
    </dxf>
    <dxf>
      <font>
        <name val="Arial"/>
        <charset val="1"/>
        <family val="0"/>
        <b val="1"/>
        <color rgb="FF9C5700"/>
        <sz val="10"/>
      </font>
      <fill>
        <patternFill>
          <bgColor rgb="FFFFEB9C"/>
        </patternFill>
      </fill>
    </dxf>
    <dxf>
      <font>
        <name val="Arial"/>
        <charset val="1"/>
        <family val="0"/>
        <b val="1"/>
        <color rgb="FF9C0006"/>
        <sz val="10"/>
      </font>
      <fill>
        <patternFill>
          <bgColor rgb="FFFFC7CE"/>
        </patternFill>
      </fill>
    </dxf>
    <dxf>
      <font>
        <name val="Arial"/>
        <charset val="1"/>
        <family val="0"/>
        <b val="1"/>
        <color rgb="FF1F2937"/>
        <sz val="10"/>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E4B8A"/>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47" min="1" max="1"/>
    <col width="18" customWidth="1" style="47" min="2" max="6"/>
  </cols>
  <sheetData>
    <row r="1" ht="31.5" customHeight="1" s="48">
      <c r="A1" s="49" t="inlineStr">
        <is>
          <t>AI CAPITAL GROUP</t>
        </is>
      </c>
    </row>
    <row r="2" ht="15" customHeight="1" s="48">
      <c r="A2" s="50" t="inlineStr">
        <is>
          <t>Goals &amp; Decisions Tracker  —  source of truth for the operating model</t>
        </is>
      </c>
    </row>
    <row r="3"/>
    <row r="4" ht="15" customHeight="1" s="48">
      <c r="A4" s="51" t="inlineStr">
        <is>
          <t>PURPOSE</t>
        </is>
      </c>
    </row>
    <row r="5" ht="90" customHeight="1" s="48">
      <c r="A5" s="52" t="inlineStr">
        <is>
          <t>This workbook is the operating record for AI Holding Company. The CEO (J) issues goals on the Goals sheet. Divisions propose plans on the Plans sheet. The CEO approves, rejects, or amends each plan. Approved plans are executed and logged on the Execution Log. Reports filed by divisions are tracked on Reports. Decisions waiting on the CEO live on Decisions Pending — that sheet is the only place the CEO needs to look when checking 'is anything waiting on me?'. Time Saved tracks whether the system is actually saving CEO hours.</t>
        </is>
      </c>
    </row>
    <row r="6"/>
    <row r="7" ht="15" customHeight="1" s="48">
      <c r="A7" s="51" t="inlineStr">
        <is>
          <t>THE LOOP</t>
        </is>
      </c>
    </row>
    <row r="8" ht="19.5" customHeight="1" s="48">
      <c r="A8" s="53" t="inlineStr">
        <is>
          <t>01  GOAL</t>
        </is>
      </c>
      <c r="B8" s="54" t="inlineStr">
        <is>
          <t>CEO issues a goal in chat. System writes it to the Goals sheet.</t>
        </is>
      </c>
    </row>
    <row r="9" ht="19.5" customHeight="1" s="48">
      <c r="A9" s="53" t="inlineStr">
        <is>
          <t>02  PLAN</t>
        </is>
      </c>
      <c r="B9" s="54" t="inlineStr">
        <is>
          <t>Relevant division drafts a plan and writes it to the Plans sheet (status: awaiting_approval).</t>
        </is>
      </c>
    </row>
    <row r="10" ht="19.5" customHeight="1" s="48">
      <c r="A10" s="53" t="inlineStr">
        <is>
          <t>03  APPROVE</t>
        </is>
      </c>
      <c r="B10" s="54" t="inlineStr">
        <is>
          <t>CEO sees the plan in Decisions Pending. /approve, /reject, or /amend. Verdict logged.</t>
        </is>
      </c>
    </row>
    <row r="11" ht="19.5" customHeight="1" s="48">
      <c r="A11" s="53" t="inlineStr">
        <is>
          <t>04  EXECUTE</t>
        </is>
      </c>
      <c r="B11" s="54" t="inlineStr">
        <is>
          <t>Approved plan is executed. Each action goes to the Execution Log.</t>
        </is>
      </c>
    </row>
    <row r="12" ht="19.5" customHeight="1" s="48">
      <c r="A12" s="53" t="inlineStr">
        <is>
          <t>05  REPORT</t>
        </is>
      </c>
      <c r="B12" s="54" t="inlineStr">
        <is>
          <t>Division files a report on completion (or weekly cadence).</t>
        </is>
      </c>
    </row>
    <row r="13" ht="19.5" customHeight="1" s="48">
      <c r="A13" s="53" t="inlineStr">
        <is>
          <t>06  JUDGE</t>
        </is>
      </c>
      <c r="B13" s="54" t="inlineStr">
        <is>
          <t>CEO marks the report Accepted or Re-tasked. Loop closes or re-opens.</t>
        </is>
      </c>
    </row>
    <row r="14"/>
    <row r="15" ht="15" customHeight="1" s="48">
      <c r="A15" s="51" t="inlineStr">
        <is>
          <t>STATUS COLOURS</t>
        </is>
      </c>
    </row>
    <row r="16" ht="15" customHeight="1" s="48">
      <c r="A16" s="55" t="inlineStr">
        <is>
          <t>approved / accepted / done / on track</t>
        </is>
      </c>
    </row>
    <row r="17" ht="15" customHeight="1" s="48">
      <c r="A17" s="56" t="inlineStr">
        <is>
          <t>awaiting_approval / in_progress / amber</t>
        </is>
      </c>
    </row>
    <row r="18" ht="15" customHeight="1" s="48">
      <c r="A18" s="57" t="inlineStr">
        <is>
          <t>rejected / blocked / red / overdue</t>
        </is>
      </c>
    </row>
    <row r="19" ht="15" customHeight="1" s="48">
      <c r="A19" s="58" t="inlineStr">
        <is>
          <t>draft / archived</t>
        </is>
      </c>
    </row>
    <row r="20"/>
    <row r="21" ht="15" customHeight="1" s="48">
      <c r="A21" s="51" t="inlineStr">
        <is>
          <t>RULES</t>
        </is>
      </c>
    </row>
    <row r="22" ht="27.75" customHeight="1" s="48">
      <c r="A22" s="52" t="inlineStr">
        <is>
          <t>·  Every goal has at least one plan. Every plan has a verdict. Every approved plan has at least one execution log entry.</t>
        </is>
      </c>
    </row>
    <row r="23" ht="27.75" customHeight="1" s="48">
      <c r="A23" s="52" t="inlineStr">
        <is>
          <t>·  The CEO never reads Plans directly — Plans surface to Decisions Pending when status = awaiting_approval.</t>
        </is>
      </c>
    </row>
    <row r="24" ht="27.75" customHeight="1" s="48">
      <c r="A24" s="52" t="inlineStr">
        <is>
          <t>·  The system stays silent unless something is waiting on the CEO, status changed colour, or 7 days passed.</t>
        </is>
      </c>
    </row>
    <row r="25" ht="27.75" customHeight="1" s="48">
      <c r="A25" s="52" t="inlineStr">
        <is>
          <t>·  Time Saved is logged weekly. If net is negative for 2 weeks running, the operating model is failing and must be revised.</t>
        </is>
      </c>
    </row>
    <row r="26" ht="27.75" customHeight="1" s="48">
      <c r="A26" s="52" t="inlineStr">
        <is>
          <t>·  All work is local. No cloud APIs, no external models.</t>
        </is>
      </c>
    </row>
  </sheetData>
  <mergeCells count="16">
    <mergeCell ref="A24:F24"/>
    <mergeCell ref="B12:F12"/>
    <mergeCell ref="A19:C19"/>
    <mergeCell ref="B10:F10"/>
    <mergeCell ref="B11:F11"/>
    <mergeCell ref="A5:F5"/>
    <mergeCell ref="A23:F23"/>
    <mergeCell ref="A17:C17"/>
    <mergeCell ref="A18:C18"/>
    <mergeCell ref="A22:F22"/>
    <mergeCell ref="B8:F8"/>
    <mergeCell ref="A26:F26"/>
    <mergeCell ref="B13:F13"/>
    <mergeCell ref="B9:F9"/>
    <mergeCell ref="A16:C16"/>
    <mergeCell ref="A25:F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47" min="1" max="1"/>
    <col width="28" customWidth="1" style="47" min="2" max="2"/>
    <col width="42" customWidth="1" style="47" min="3" max="3"/>
    <col width="12" customWidth="1" style="47" min="4" max="5"/>
  </cols>
  <sheetData>
    <row r="1" ht="30" customHeight="1" s="48">
      <c r="A1" s="59" t="inlineStr">
        <is>
          <t>MANAGING AGENT  —  Escalation Rules &amp; Authority</t>
        </is>
      </c>
    </row>
    <row r="2" ht="24" customHeight="1" s="48">
      <c r="A2" s="60" t="inlineStr">
        <is>
          <t>The MA is the operational decision-maker. It escalates to the CEO only when the fixed rules below require it. Reference: PLAN.md §5</t>
        </is>
      </c>
    </row>
    <row r="3"/>
    <row r="4" ht="15" customHeight="1" s="48">
      <c r="A4" s="51" t="inlineStr">
        <is>
          <t>ORGANISATION HIERARCHY</t>
        </is>
      </c>
    </row>
    <row r="5" ht="24" customHeight="1" s="48">
      <c r="A5" s="61" t="inlineStr">
        <is>
          <t>CEO (J)</t>
        </is>
      </c>
      <c r="B5" s="62" t="inlineStr">
        <is>
          <t>Principal. Issues goals. Approves major plans. Judges completion.</t>
        </is>
      </c>
      <c r="C5" s="63" t="n"/>
      <c r="D5" s="63" t="n"/>
      <c r="E5" s="64" t="n"/>
    </row>
    <row r="6" ht="24" customHeight="1" s="48">
      <c r="A6" s="65" t="inlineStr">
        <is>
          <t xml:space="preserve">  ↕  Managing Agent</t>
        </is>
      </c>
      <c r="B6" s="62" t="inlineStr">
        <is>
          <t>COO layer. Coordinates divisions. QAs work. Escalates when rules require.</t>
        </is>
      </c>
      <c r="C6" s="63" t="n"/>
      <c r="D6" s="63" t="n"/>
      <c r="E6" s="64" t="n"/>
    </row>
    <row r="7" ht="24" customHeight="1" s="48">
      <c r="A7" s="66" t="inlineStr">
        <is>
          <t xml:space="preserve">    ↕  Trading Division</t>
        </is>
      </c>
      <c r="B7" s="62" t="inlineStr">
        <is>
          <t>Monitors bots, pulls PNL, files daily brief.</t>
        </is>
      </c>
      <c r="C7" s="63" t="n"/>
      <c r="D7" s="63" t="n"/>
      <c r="E7" s="64" t="n"/>
    </row>
    <row r="8" ht="24" customHeight="1" s="48">
      <c r="A8" s="66" t="inlineStr">
        <is>
          <t xml:space="preserve">    ↕  Websites Division</t>
        </is>
      </c>
      <c r="B8" s="62" t="inlineStr">
        <is>
          <t>Uptime, SSL, content pipeline.</t>
        </is>
      </c>
      <c r="C8" s="63" t="n"/>
      <c r="D8" s="63" t="n"/>
      <c r="E8" s="64" t="n"/>
    </row>
    <row r="9" ht="24" customHeight="1" s="48">
      <c r="A9" s="66" t="inlineStr">
        <is>
          <t xml:space="preserve">    ↕  Research Division</t>
        </is>
      </c>
      <c r="B9" s="62" t="inlineStr">
        <is>
          <t>On-demand briefs. Weekly opt-in.</t>
        </is>
      </c>
      <c r="C9" s="63" t="n"/>
      <c r="D9" s="63" t="n"/>
      <c r="E9" s="64" t="n"/>
    </row>
    <row r="10" ht="24" customHeight="1" s="48">
      <c r="A10" s="66" t="inlineStr">
        <is>
          <t xml:space="preserve">    ↕  Commercial Division</t>
        </is>
      </c>
      <c r="B10" s="62" t="inlineStr">
        <is>
          <t>Daily PNL roll-up, weekly P&amp;L, risk alerts.</t>
        </is>
      </c>
      <c r="C10" s="63" t="n"/>
      <c r="D10" s="63" t="n"/>
      <c r="E10" s="64" t="n"/>
    </row>
    <row r="11" ht="24" customHeight="1" s="48">
      <c r="A11" s="66" t="inlineStr">
        <is>
          <t xml:space="preserve">    ↕  Commercial Division · Content Studio · Marketing</t>
        </is>
      </c>
      <c r="B11" s="62" t="inlineStr">
        <is>
          <t>1 idea/week. Optional. CEO must enable.</t>
        </is>
      </c>
      <c r="C11" s="63" t="n"/>
      <c r="D11" s="63" t="n"/>
      <c r="E11" s="64" t="n"/>
    </row>
    <row r="12"/>
    <row r="13" ht="13.5" customHeight="1" s="48"/>
    <row r="14" ht="15" customHeight="1" s="48">
      <c r="A14" s="51" t="inlineStr">
        <is>
          <t>ESCALATION RULES  —  Always Escalates to CEO</t>
        </is>
      </c>
    </row>
    <row r="15" ht="26.85" customHeight="1" s="48">
      <c r="A15" s="67" t="inlineStr">
        <is>
          <t>#</t>
        </is>
      </c>
      <c r="B15" s="67" t="inlineStr">
        <is>
          <t>Rule</t>
        </is>
      </c>
      <c r="C15" s="64" t="n"/>
      <c r="D15" s="67" t="inlineStr">
        <is>
          <t>PLAN.md ref</t>
        </is>
      </c>
    </row>
    <row r="16" ht="30" customHeight="1" s="48">
      <c r="A16" s="68" t="inlineStr">
        <is>
          <t>1</t>
        </is>
      </c>
      <c r="B16" s="69" t="inlineStr">
        <is>
          <t>Anything touching live money</t>
        </is>
      </c>
      <c r="C16" s="64" t="n"/>
      <c r="D16" s="70" t="inlineStr">
        <is>
          <t>R5</t>
        </is>
      </c>
    </row>
    <row r="17" ht="30" customHeight="1" s="48">
      <c r="A17" s="68" t="inlineStr">
        <is>
          <t>2</t>
        </is>
      </c>
      <c r="B17" s="69" t="inlineStr">
        <is>
          <t>Code deployment</t>
        </is>
      </c>
      <c r="C17" s="64" t="n"/>
      <c r="D17" s="70" t="inlineStr">
        <is>
          <t>R8</t>
        </is>
      </c>
    </row>
    <row r="18" ht="30" customHeight="1" s="48">
      <c r="A18" s="68" t="inlineStr">
        <is>
          <t>3</t>
        </is>
      </c>
      <c r="B18" s="69" t="inlineStr">
        <is>
          <t>External publishing</t>
        </is>
      </c>
      <c r="C18" s="64" t="n"/>
      <c r="D18" s="70" t="inlineStr">
        <is>
          <t>R4</t>
        </is>
      </c>
    </row>
    <row r="19" ht="30" customHeight="1" s="48">
      <c r="A19" s="68" t="inlineStr">
        <is>
          <t>4</t>
        </is>
      </c>
      <c r="B19" s="69" t="inlineStr">
        <is>
          <t>New plan type</t>
        </is>
      </c>
      <c r="C19" s="64" t="n"/>
      <c r="D19" s="70" t="inlineStr">
        <is>
          <t>§5</t>
        </is>
      </c>
    </row>
    <row r="20" ht="30" customHeight="1" s="48">
      <c r="A20" s="68" t="inlineStr">
        <is>
          <t>5</t>
        </is>
      </c>
      <c r="B20" s="69" t="inlineStr">
        <is>
          <t>Compliance Guardian flagged</t>
        </is>
      </c>
      <c r="C20" s="64" t="n"/>
      <c r="D20" s="70" t="inlineStr">
        <is>
          <t>R6</t>
        </is>
      </c>
    </row>
    <row r="21" ht="30" customHeight="1" s="48">
      <c r="A21" s="68" t="inlineStr">
        <is>
          <t>6</t>
        </is>
      </c>
      <c r="B21" s="69" t="inlineStr">
        <is>
          <t>Goal overrun</t>
        </is>
      </c>
      <c r="C21" s="64" t="n"/>
      <c r="D21" s="70" t="inlineStr">
        <is>
          <t>§5</t>
        </is>
      </c>
    </row>
    <row r="22" ht="30" customHeight="1" s="48">
      <c r="A22" s="68" t="inlineStr">
        <is>
          <t>7</t>
        </is>
      </c>
      <c r="B22" s="69" t="inlineStr">
        <is>
          <t>Inter-division conflict</t>
        </is>
      </c>
      <c r="C22" s="64" t="n"/>
      <c r="D22" s="70" t="inlineStr">
        <is>
          <t>§5</t>
        </is>
      </c>
    </row>
    <row r="23" ht="30" customHeight="1" s="48">
      <c r="A23" s="68" t="inlineStr">
        <is>
          <t>8</t>
        </is>
      </c>
      <c r="B23" s="69" t="inlineStr">
        <is>
          <t>MA uncertain</t>
        </is>
      </c>
      <c r="C23" s="64" t="n"/>
      <c r="D23" s="70" t="inlineStr">
        <is>
          <t>§5</t>
        </is>
      </c>
    </row>
    <row r="24"/>
    <row r="25" ht="13.5" customHeight="1" s="48"/>
    <row r="26" ht="15" customHeight="1" s="48">
      <c r="A26" s="51" t="inlineStr">
        <is>
          <t>MA HANDLES WITHOUT CEO</t>
        </is>
      </c>
    </row>
    <row r="27" ht="26.85" customHeight="1" s="48">
      <c r="A27" s="71" t="inlineStr">
        <is>
          <t>#</t>
        </is>
      </c>
      <c r="B27" s="71" t="inlineStr">
        <is>
          <t>Decision type</t>
        </is>
      </c>
      <c r="C27" s="64" t="n"/>
      <c r="D27" s="71" t="inlineStr">
        <is>
          <t>PLAN.md ref</t>
        </is>
      </c>
    </row>
    <row r="28" ht="30" customHeight="1" s="48">
      <c r="A28" s="68" t="inlineStr">
        <is>
          <t>1</t>
        </is>
      </c>
      <c r="B28" s="72" t="inlineStr">
        <is>
          <t>Routine monitoring approvals</t>
        </is>
      </c>
      <c r="C28" s="64" t="n"/>
      <c r="D28" s="70" t="inlineStr">
        <is>
          <t>§5</t>
        </is>
      </c>
    </row>
    <row r="29" ht="30" customHeight="1" s="48">
      <c r="A29" s="68" t="inlineStr">
        <is>
          <t>2</t>
        </is>
      </c>
      <c r="B29" s="72" t="inlineStr">
        <is>
          <t>Intra-division operational decisions</t>
        </is>
      </c>
      <c r="C29" s="64" t="n"/>
      <c r="D29" s="70" t="inlineStr">
        <is>
          <t>§5</t>
        </is>
      </c>
    </row>
    <row r="30" ht="30" customHeight="1" s="48">
      <c r="A30" s="68" t="inlineStr">
        <is>
          <t>3</t>
        </is>
      </c>
      <c r="B30" s="72" t="inlineStr">
        <is>
          <t>Progress chasing</t>
        </is>
      </c>
      <c r="C30" s="64" t="n"/>
      <c r="D30" s="70" t="inlineStr">
        <is>
          <t>§5</t>
        </is>
      </c>
    </row>
    <row r="31" ht="30" customHeight="1" s="48">
      <c r="A31" s="68" t="inlineStr">
        <is>
          <t>4</t>
        </is>
      </c>
      <c r="B31" s="72" t="inlineStr">
        <is>
          <t>QA verification</t>
        </is>
      </c>
      <c r="C31" s="64" t="n"/>
      <c r="D31" s="70" t="inlineStr">
        <is>
          <t>§5</t>
        </is>
      </c>
    </row>
    <row r="32" ht="30" customHeight="1" s="48">
      <c r="A32" s="68" t="inlineStr">
        <is>
          <t>5</t>
        </is>
      </c>
      <c r="B32" s="72" t="inlineStr">
        <is>
          <t>Scheduling and ordering</t>
        </is>
      </c>
      <c r="C32" s="64" t="n"/>
      <c r="D32" s="70" t="inlineStr">
        <is>
          <t>§5</t>
        </is>
      </c>
    </row>
    <row r="33" ht="30" customHeight="1" s="48">
      <c r="A33" s="68" t="inlineStr">
        <is>
          <t>6</t>
        </is>
      </c>
      <c r="B33" s="72" t="inlineStr">
        <is>
          <t>Copying CEO comms</t>
        </is>
      </c>
      <c r="C33" s="64" t="n"/>
      <c r="D33" s="70" t="inlineStr">
        <is>
          <t>R7</t>
        </is>
      </c>
    </row>
    <row r="34"/>
    <row r="35" ht="13.5" customHeight="1" s="48"/>
    <row r="36" ht="15" customHeight="1" s="48">
      <c r="A36" s="51" t="inlineStr">
        <is>
          <t>ESCALATION MESSAGE FORMAT  (when MA is uncertain)</t>
        </is>
      </c>
    </row>
    <row r="37" ht="51.75" customHeight="1" s="48">
      <c r="A37" s="73" t="inlineStr">
        <is>
          <t>[ESCALATION] I cannot classify this decision against the ruleset: &lt;one-line explanation&gt;.
Options: &lt;A&gt;, &lt;B&gt;.
My recommendation: &lt;X&gt;.</t>
        </is>
      </c>
      <c r="B37" s="63" t="n"/>
      <c r="C37" s="63" t="n"/>
      <c r="D37" s="63" t="n"/>
      <c r="E37" s="64" t="n"/>
    </row>
    <row r="38" ht="15" customHeight="1" s="48">
      <c r="A38" s="60" t="inlineStr">
        <is>
          <t>CEO replies. MA logs and acts. MA never guesses on an edge case. Reference: PLAN.md §5</t>
        </is>
      </c>
    </row>
  </sheetData>
  <mergeCells count="31">
    <mergeCell ref="B9:E9"/>
    <mergeCell ref="B16:C16"/>
    <mergeCell ref="B6:E6"/>
    <mergeCell ref="B22:C22"/>
    <mergeCell ref="A1:E1"/>
    <mergeCell ref="B5:E5"/>
    <mergeCell ref="B31:C31"/>
    <mergeCell ref="B27:C27"/>
    <mergeCell ref="B18:C18"/>
    <mergeCell ref="A36:E36"/>
    <mergeCell ref="B21:C21"/>
    <mergeCell ref="B23:C23"/>
    <mergeCell ref="B7:E7"/>
    <mergeCell ref="A37:E37"/>
    <mergeCell ref="B17:C17"/>
    <mergeCell ref="A26:E26"/>
    <mergeCell ref="B29:C29"/>
    <mergeCell ref="A2:E2"/>
    <mergeCell ref="B19:C19"/>
    <mergeCell ref="B28:C28"/>
    <mergeCell ref="B11:E11"/>
    <mergeCell ref="A14:E14"/>
    <mergeCell ref="B30:C30"/>
    <mergeCell ref="A4:E4"/>
    <mergeCell ref="B8:E8"/>
    <mergeCell ref="B15:C15"/>
    <mergeCell ref="B33:C33"/>
    <mergeCell ref="A38:E38"/>
    <mergeCell ref="B20:C20"/>
    <mergeCell ref="B32:C32"/>
    <mergeCell ref="B10:E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8" customWidth="1" style="48" min="1" max="1"/>
    <col width="22" customWidth="1" style="48" min="2" max="2"/>
    <col width="50" customWidth="1" style="48" min="3" max="3"/>
    <col width="20" customWidth="1" style="48" min="4" max="4"/>
    <col width="14" customWidth="1" style="48" min="5" max="5"/>
  </cols>
  <sheetData>
    <row r="1" ht="32" customHeight="1" s="48">
      <c r="A1" s="74" t="inlineStr">
        <is>
          <t>AI HOLDING COMPANY  —  Guardrails (G1–G7)</t>
        </is>
      </c>
    </row>
    <row r="2" ht="24" customHeight="1" s="48">
      <c r="A2" s="75" t="inlineStr">
        <is>
          <t>These guardrails apply to all new division rollouts and initiatives. They prevent complexity creep. Reference: PLAN.md §6</t>
        </is>
      </c>
    </row>
    <row r="3" ht="10" customHeight="1" s="48"/>
    <row r="4" ht="22" customHeight="1" s="48">
      <c r="A4" s="76" t="inlineStr">
        <is>
          <t>Code</t>
        </is>
      </c>
      <c r="B4" s="76" t="inlineStr">
        <is>
          <t>Name</t>
        </is>
      </c>
      <c r="C4" s="76" t="inlineStr">
        <is>
          <t>Rule</t>
        </is>
      </c>
      <c r="D4" s="76" t="inlineStr">
        <is>
          <t>Status</t>
        </is>
      </c>
      <c r="E4" s="76" t="inlineStr">
        <is>
          <t>PLAN.md ref</t>
        </is>
      </c>
    </row>
    <row r="5" ht="52" customHeight="1" s="48">
      <c r="A5" s="77" t="inlineStr">
        <is>
          <t>G1</t>
        </is>
      </c>
      <c r="B5" s="78" t="inlineStr">
        <is>
          <t>Sequence guard</t>
        </is>
      </c>
      <c r="C5" s="79" t="inlineStr">
        <is>
          <t>Do not add new outward-facing divisions until Stage A, B, and D are stable and green.</t>
        </is>
      </c>
      <c r="D5" s="80" t="inlineStr">
        <is>
          <t>Unblocked when A+B+D=GREEN</t>
        </is>
      </c>
      <c r="E5" s="81" t="inlineStr">
        <is>
          <t>§6/G1</t>
        </is>
      </c>
    </row>
    <row r="6" ht="52" customHeight="1" s="48">
      <c r="A6" s="77" t="inlineStr">
        <is>
          <t>G2</t>
        </is>
      </c>
      <c r="B6" s="78" t="inlineStr">
        <is>
          <t>Load guard</t>
        </is>
      </c>
      <c r="C6" s="79" t="inlineStr">
        <is>
          <t>Do not activate more than one new division at a time. Each must prove value against explicit success criteria before the next activates.</t>
        </is>
      </c>
      <c r="D6" s="80" t="inlineStr">
        <is>
          <t>Ongoing</t>
        </is>
      </c>
      <c r="E6" s="81" t="inlineStr">
        <is>
          <t>§6/G2</t>
        </is>
      </c>
    </row>
    <row r="7" ht="52" customHeight="1" s="48">
      <c r="A7" s="77" t="inlineStr">
        <is>
          <t>G3</t>
        </is>
      </c>
      <c r="B7" s="78" t="inlineStr">
        <is>
          <t>Decision guard</t>
        </is>
      </c>
      <c r="C7" s="79" t="inlineStr">
        <is>
          <t>Marketing: max 1 campaign decision/week. Content: operates from approved briefs only — no open-ended work. Commercial: must score any new initiative before it reaches the Board Pack.</t>
        </is>
      </c>
      <c r="D7" s="80" t="inlineStr">
        <is>
          <t>Ongoing</t>
        </is>
      </c>
      <c r="E7" s="81" t="inlineStr">
        <is>
          <t>§6/G3</t>
        </is>
      </c>
    </row>
    <row r="8" ht="52" customHeight="1" s="48">
      <c r="A8" s="77" t="inlineStr">
        <is>
          <t>G4</t>
        </is>
      </c>
      <c r="B8" s="78" t="inlineStr">
        <is>
          <t>Publishing guard</t>
        </is>
      </c>
      <c r="C8" s="79" t="inlineStr">
        <is>
          <t>Content may draft assets. All public publishing, website changes, or external content releases escalate under R3 and R4. No exceptions.</t>
        </is>
      </c>
      <c r="D8" s="80" t="inlineStr">
        <is>
          <t>Ongoing</t>
        </is>
      </c>
      <c r="E8" s="81" t="inlineStr">
        <is>
          <t>§6/G4</t>
        </is>
      </c>
    </row>
    <row r="9" ht="52" customHeight="1" s="48">
      <c r="A9" s="77" t="inlineStr">
        <is>
          <t>G5</t>
        </is>
      </c>
      <c r="B9" s="78" t="inlineStr">
        <is>
          <t>KPI guard</t>
        </is>
      </c>
      <c r="C9" s="79" t="inlineStr">
        <is>
          <t>No new initiative enters execution without: named owner, expected upside, expected effort/cost, KPI or success metric, review date, post-launch measurement plan.</t>
        </is>
      </c>
      <c r="D9" s="80" t="inlineStr">
        <is>
          <t>Ongoing</t>
        </is>
      </c>
      <c r="E9" s="81" t="inlineStr">
        <is>
          <t>§6/G5</t>
        </is>
      </c>
    </row>
    <row r="10" ht="52" customHeight="1" s="48">
      <c r="A10" s="77" t="inlineStr">
        <is>
          <t>G6</t>
        </is>
      </c>
      <c r="B10" s="78" t="inlineStr">
        <is>
          <t>Silence guard</t>
        </is>
      </c>
      <c r="C10" s="79" t="inlineStr">
        <is>
          <t>New divisions obey R10 (silence by default). They surface only: pending decisions, colour/status changes, and explicitly allowed digest outputs.</t>
        </is>
      </c>
      <c r="D10" s="80" t="inlineStr">
        <is>
          <t>Ongoing</t>
        </is>
      </c>
      <c r="E10" s="81" t="inlineStr">
        <is>
          <t>§6/G6</t>
        </is>
      </c>
    </row>
    <row r="11" ht="52" customHeight="1" s="48">
      <c r="A11" s="77" t="inlineStr">
        <is>
          <t>G7</t>
        </is>
      </c>
      <c r="B11" s="78" t="inlineStr">
        <is>
          <t>Complexity stop-rule</t>
        </is>
      </c>
      <c r="C11" s="79" t="inlineStr">
        <is>
          <t>If two consecutive weeks show net-negative time saved (R9), pause all new division rollout and review the operating model before adding anything.</t>
        </is>
      </c>
      <c r="D11" s="80" t="inlineStr">
        <is>
          <t>Trigger: 2× net-negative weeks</t>
        </is>
      </c>
      <c r="E11" s="81" t="inlineStr">
        <is>
          <t>§6/G7</t>
        </is>
      </c>
    </row>
    <row r="12" ht="10" customHeight="1" s="48"/>
    <row r="13" ht="26" customHeight="1" s="48">
      <c r="A13" s="82" t="inlineStr">
        <is>
          <t>BOARD PACK REQUIREMENTS (v5)  —  8 Required Fields</t>
        </is>
      </c>
    </row>
    <row r="14" ht="22" customHeight="1" s="48">
      <c r="A14" s="83" t="inlineStr">
        <is>
          <t>#</t>
        </is>
      </c>
      <c r="B14" s="83" t="inlineStr">
        <is>
          <t>Field</t>
        </is>
      </c>
      <c r="C14" s="83" t="inlineStr">
        <is>
          <t>Required content</t>
        </is>
      </c>
      <c r="D14" s="84" t="n"/>
      <c r="E14" s="85" t="n"/>
    </row>
    <row r="15" ht="30" customHeight="1" s="48">
      <c r="A15" s="86" t="inlineStr">
        <is>
          <t>1</t>
        </is>
      </c>
      <c r="B15" s="87" t="inlineStr">
        <is>
          <t>Rationale</t>
        </is>
      </c>
      <c r="C15" s="88" t="inlineStr">
        <is>
          <t>Why this decision / initiative is being proposed now</t>
        </is>
      </c>
      <c r="D15" s="84" t="n"/>
      <c r="E15" s="85" t="n"/>
    </row>
    <row r="16" ht="30" customHeight="1" s="48">
      <c r="A16" s="86" t="inlineStr">
        <is>
          <t>2</t>
        </is>
      </c>
      <c r="B16" s="87" t="inlineStr">
        <is>
          <t>Expected upside</t>
        </is>
      </c>
      <c r="C16" s="88" t="inlineStr">
        <is>
          <t>Quantified where possible — revenue, time saved, risk reduced</t>
        </is>
      </c>
      <c r="D16" s="84" t="n"/>
      <c r="E16" s="85" t="n"/>
    </row>
    <row r="17" ht="30" customHeight="1" s="48">
      <c r="A17" s="86" t="inlineStr">
        <is>
          <t>3</t>
        </is>
      </c>
      <c r="B17" s="87" t="inlineStr">
        <is>
          <t>Expected effort / cost</t>
        </is>
      </c>
      <c r="C17" s="88" t="inlineStr">
        <is>
          <t>Time, compute, money — realistic estimate</t>
        </is>
      </c>
      <c r="D17" s="84" t="n"/>
      <c r="E17" s="85" t="n"/>
    </row>
    <row r="18" ht="30" customHeight="1" s="48">
      <c r="A18" s="86" t="inlineStr">
        <is>
          <t>4</t>
        </is>
      </c>
      <c r="B18" s="87" t="inlineStr">
        <is>
          <t>Confidence level</t>
        </is>
      </c>
      <c r="C18" s="88" t="inlineStr">
        <is>
          <t>High / Medium / Low with a one-line reason</t>
        </is>
      </c>
      <c r="D18" s="84" t="n"/>
      <c r="E18" s="85" t="n"/>
    </row>
    <row r="19" ht="30" customHeight="1" s="48">
      <c r="A19" s="86" t="inlineStr">
        <is>
          <t>5</t>
        </is>
      </c>
      <c r="B19" s="87" t="inlineStr">
        <is>
          <t>Owner</t>
        </is>
      </c>
      <c r="C19" s="88" t="inlineStr">
        <is>
          <t>Named division or agent responsible for execution</t>
        </is>
      </c>
      <c r="D19" s="84" t="n"/>
      <c r="E19" s="85" t="n"/>
    </row>
    <row r="20" ht="30" customHeight="1" s="48">
      <c r="A20" s="86" t="inlineStr">
        <is>
          <t>6</t>
        </is>
      </c>
      <c r="B20" s="87" t="inlineStr">
        <is>
          <t>Deadline / review date</t>
        </is>
      </c>
      <c r="C20" s="88" t="inlineStr">
        <is>
          <t>Hard date for completion or first review</t>
        </is>
      </c>
      <c r="D20" s="84" t="n"/>
      <c r="E20" s="85" t="n"/>
    </row>
    <row r="21" ht="30" customHeight="1" s="48">
      <c r="A21" s="86" t="inlineStr">
        <is>
          <t>7</t>
        </is>
      </c>
      <c r="B21" s="87" t="inlineStr">
        <is>
          <t>Dissent / counter-argument</t>
        </is>
      </c>
      <c r="C21" s="88" t="inlineStr">
        <is>
          <t>Dissent agent must file one objection minimum</t>
        </is>
      </c>
      <c r="D21" s="84" t="n"/>
      <c r="E21" s="85" t="n"/>
    </row>
    <row r="22" ht="30" customHeight="1" s="48">
      <c r="A22" s="86" t="inlineStr">
        <is>
          <t>8</t>
        </is>
      </c>
      <c r="B22" s="87" t="inlineStr">
        <is>
          <t>Post-launch measurement plan</t>
        </is>
      </c>
      <c r="C22" s="88" t="inlineStr">
        <is>
          <t>How success will be measured after execution</t>
        </is>
      </c>
      <c r="D22" s="84" t="n"/>
      <c r="E22" s="85" t="n"/>
    </row>
    <row r="23" ht="30" customHeight="1" s="48">
      <c r="A23" s="75" t="inlineStr">
        <is>
          <t>Commercial must score any new initiative (upside, effort, confidence, go/no-go) before it reaches the Board Pack. Unscored initiatives are blocked by MA.</t>
        </is>
      </c>
    </row>
  </sheetData>
  <mergeCells count="13">
    <mergeCell ref="C16:E16"/>
    <mergeCell ref="C14:E14"/>
    <mergeCell ref="C19:E19"/>
    <mergeCell ref="A2:E2"/>
    <mergeCell ref="C22:E22"/>
    <mergeCell ref="C18:E18"/>
    <mergeCell ref="A1:E1"/>
    <mergeCell ref="C17:E17"/>
    <mergeCell ref="A23:E23"/>
    <mergeCell ref="A13:E13"/>
    <mergeCell ref="C21:E21"/>
    <mergeCell ref="C20:E20"/>
    <mergeCell ref="C15:E15"/>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H5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47" min="1" max="1"/>
    <col width="14" customWidth="1" style="47" min="2" max="2"/>
    <col width="16" customWidth="1" style="47" min="3" max="3"/>
    <col width="40" customWidth="1" style="47" min="4" max="4"/>
    <col width="28" customWidth="1" style="47" min="5" max="5"/>
    <col width="14" customWidth="1" style="47" min="6" max="6"/>
    <col width="18" customWidth="1" style="47" min="7" max="7"/>
    <col width="30" customWidth="1" style="47" min="8" max="8"/>
  </cols>
  <sheetData>
    <row r="1" ht="24" customHeight="1" s="48">
      <c r="A1" s="89" t="inlineStr">
        <is>
          <t>GOALS  —  CEO-issued mandates</t>
        </is>
      </c>
    </row>
    <row r="2" ht="15" customHeight="1" s="48">
      <c r="A2" s="90" t="inlineStr">
        <is>
          <t>CEO writes/dictates a goal here (or via Telegram). System assigns the goal to a division.</t>
        </is>
      </c>
    </row>
    <row r="3"/>
    <row r="4" ht="30" customHeight="1" s="48">
      <c r="A4" s="67" t="inlineStr">
        <is>
          <t>Goal ID</t>
        </is>
      </c>
      <c r="B4" s="67" t="inlineStr">
        <is>
          <t>Date issued</t>
        </is>
      </c>
      <c r="C4" s="67" t="inlineStr">
        <is>
          <t>Division</t>
        </is>
      </c>
      <c r="D4" s="67" t="inlineStr">
        <is>
          <t>Goal</t>
        </is>
      </c>
      <c r="E4" s="67" t="inlineStr">
        <is>
          <t>Target / success metric</t>
        </is>
      </c>
      <c r="F4" s="67" t="inlineStr">
        <is>
          <t>Deadline</t>
        </is>
      </c>
      <c r="G4" s="67" t="inlineStr">
        <is>
          <t>Status</t>
        </is>
      </c>
      <c r="H4" s="67" t="inlineStr">
        <is>
          <t>Notes</t>
        </is>
      </c>
    </row>
    <row r="5" ht="36" customHeight="1" s="48">
      <c r="A5" s="91" t="inlineStr">
        <is>
          <t>G-001</t>
        </is>
      </c>
      <c r="B5" s="92" t="n">
        <v>46125</v>
      </c>
      <c r="C5" s="93" t="inlineStr">
        <is>
          <t>Trading</t>
        </is>
      </c>
      <c r="D5" s="93" t="inlineStr">
        <is>
          <t>Stabilise Polymarket data freshness</t>
        </is>
      </c>
      <c r="E5" s="93" t="inlineStr">
        <is>
          <t>Fresh data &lt;6h, 7 consecutive days</t>
        </is>
      </c>
      <c r="F5" s="92" t="n">
        <v>46139</v>
      </c>
      <c r="G5" s="93" t="inlineStr">
        <is>
          <t>in_progress</t>
        </is>
      </c>
      <c r="H5" s="93" t="inlineStr">
        <is>
          <t>Stage D dependency</t>
        </is>
      </c>
    </row>
    <row r="6" ht="36" customHeight="1" s="48">
      <c r="A6" s="91" t="inlineStr">
        <is>
          <t>G-002</t>
        </is>
      </c>
      <c r="B6" s="92" t="n">
        <v>46125</v>
      </c>
      <c r="C6" s="93" t="inlineStr">
        <is>
          <t>Websites</t>
        </is>
      </c>
      <c r="D6" s="93" t="inlineStr">
        <is>
          <t>FreeTraderHub weekly research brief</t>
        </is>
      </c>
      <c r="E6" s="93" t="inlineStr">
        <is>
          <t>Brief generated each Monday for 4wk</t>
        </is>
      </c>
      <c r="F6" s="92" t="n">
        <v>46153</v>
      </c>
      <c r="G6" s="93" t="inlineStr">
        <is>
          <t>in_progress</t>
        </is>
      </c>
      <c r="H6" s="93" t="inlineStr">
        <is>
          <t>Tied to research div spin-up</t>
        </is>
      </c>
    </row>
    <row r="7" ht="36" customHeight="1" s="48">
      <c r="A7" s="91" t="inlineStr">
        <is>
          <t>G-003</t>
        </is>
      </c>
      <c r="B7" s="92" t="n">
        <v>46125</v>
      </c>
      <c r="C7" s="93" t="inlineStr">
        <is>
          <t>Holding</t>
        </is>
      </c>
      <c r="D7" s="93" t="inlineStr">
        <is>
          <t>Get company status to GREEN for 14 days</t>
        </is>
      </c>
      <c r="E7" s="93" t="inlineStr">
        <is>
          <t>company_status=GREEN x14d</t>
        </is>
      </c>
      <c r="F7" s="92" t="n">
        <v>46173</v>
      </c>
      <c r="G7" s="93" t="inlineStr">
        <is>
          <t>awaiting_approval</t>
        </is>
      </c>
      <c r="H7" s="93" t="inlineStr">
        <is>
          <t>Roll-up of D + cleanup</t>
        </is>
      </c>
    </row>
    <row r="8" ht="36" customHeight="1" s="48">
      <c r="A8" s="91" t="inlineStr">
        <is>
          <t>G-004</t>
        </is>
      </c>
      <c r="B8" s="92" t="n">
        <v>46125</v>
      </c>
      <c r="C8" s="93" t="inlineStr">
        <is>
          <t>Treasury</t>
        </is>
      </c>
      <c r="D8" s="93" t="inlineStr">
        <is>
          <t>Daily PNL roll-up matches manual recon ±$0.50</t>
        </is>
      </c>
      <c r="E8" s="93" t="inlineStr">
        <is>
          <t>7 consecutive days within tolerance</t>
        </is>
      </c>
      <c r="F8" s="92" t="n">
        <v>46188</v>
      </c>
      <c r="G8" s="93" t="inlineStr">
        <is>
          <t>draft</t>
        </is>
      </c>
      <c r="H8" s="93" t="inlineStr">
        <is>
          <t>Stage G</t>
        </is>
      </c>
    </row>
    <row r="9" ht="36" customHeight="1" s="48">
      <c r="A9" s="91" t="inlineStr">
        <is>
          <t>G-005</t>
        </is>
      </c>
      <c r="B9" s="92" t="n">
        <v>46125</v>
      </c>
      <c r="C9" s="93" t="inlineStr">
        <is>
          <t>Holding</t>
        </is>
      </c>
      <c r="D9" s="93" t="inlineStr">
        <is>
          <t>CEO time spent on system &lt;30 min/day average</t>
        </is>
      </c>
      <c r="E9" s="93" t="inlineStr">
        <is>
          <t>Weekly avg &lt;30 min for 4 weeks</t>
        </is>
      </c>
      <c r="F9" s="92" t="n">
        <v>46203</v>
      </c>
      <c r="G9" s="93" t="inlineStr">
        <is>
          <t>draft</t>
        </is>
      </c>
      <c r="H9" s="93" t="inlineStr">
        <is>
          <t>Time-saved goal</t>
        </is>
      </c>
    </row>
    <row r="10" ht="21.75" customHeight="1" s="48">
      <c r="A10" s="93" t="n"/>
      <c r="B10" s="93" t="n"/>
      <c r="C10" s="93" t="n"/>
      <c r="D10" s="93" t="n"/>
      <c r="E10" s="93" t="n"/>
      <c r="F10" s="93" t="n"/>
      <c r="G10" s="93" t="n"/>
      <c r="H10" s="93" t="n"/>
    </row>
    <row r="11" ht="21.75" customHeight="1" s="48">
      <c r="A11" s="93" t="n"/>
      <c r="B11" s="93" t="n"/>
      <c r="C11" s="93" t="n"/>
      <c r="D11" s="93" t="n"/>
      <c r="E11" s="93" t="n"/>
      <c r="F11" s="93" t="n"/>
      <c r="G11" s="93" t="n"/>
      <c r="H11" s="93" t="n"/>
    </row>
    <row r="12" ht="21.75" customHeight="1" s="48">
      <c r="A12" s="93" t="n"/>
      <c r="B12" s="93" t="n"/>
      <c r="C12" s="93" t="n"/>
      <c r="D12" s="93" t="n"/>
      <c r="E12" s="93" t="n"/>
      <c r="F12" s="93" t="n"/>
      <c r="G12" s="93" t="n"/>
      <c r="H12" s="93" t="n"/>
    </row>
    <row r="13" ht="21.75" customHeight="1" s="48">
      <c r="A13" s="93" t="n"/>
      <c r="B13" s="93" t="n"/>
      <c r="C13" s="93" t="n"/>
      <c r="D13" s="93" t="n"/>
      <c r="E13" s="93" t="n"/>
      <c r="F13" s="93" t="n"/>
      <c r="G13" s="93" t="n"/>
      <c r="H13" s="93" t="n"/>
    </row>
    <row r="14" ht="21.75" customHeight="1" s="48">
      <c r="A14" s="93" t="n"/>
      <c r="B14" s="93" t="n"/>
      <c r="C14" s="93" t="n"/>
      <c r="D14" s="93" t="n"/>
      <c r="E14" s="93" t="n"/>
      <c r="F14" s="93" t="n"/>
      <c r="G14" s="93" t="n"/>
      <c r="H14" s="93" t="n"/>
    </row>
    <row r="15" ht="21.75" customHeight="1" s="48">
      <c r="A15" s="93" t="n"/>
      <c r="B15" s="93" t="n"/>
      <c r="C15" s="93" t="n"/>
      <c r="D15" s="93" t="n"/>
      <c r="E15" s="93" t="n"/>
      <c r="F15" s="93" t="n"/>
      <c r="G15" s="93" t="n"/>
      <c r="H15" s="93" t="n"/>
    </row>
    <row r="16" ht="21.75" customHeight="1" s="48">
      <c r="A16" s="93" t="n"/>
      <c r="B16" s="93" t="n"/>
      <c r="C16" s="93" t="n"/>
      <c r="D16" s="93" t="n"/>
      <c r="E16" s="93" t="n"/>
      <c r="F16" s="93" t="n"/>
      <c r="G16" s="93" t="n"/>
      <c r="H16" s="93" t="n"/>
    </row>
    <row r="17" ht="21.75" customHeight="1" s="48">
      <c r="A17" s="93" t="n"/>
      <c r="B17" s="93" t="n"/>
      <c r="C17" s="93" t="n"/>
      <c r="D17" s="93" t="n"/>
      <c r="E17" s="93" t="n"/>
      <c r="F17" s="93" t="n"/>
      <c r="G17" s="93" t="n"/>
      <c r="H17" s="93" t="n"/>
    </row>
    <row r="18" ht="21.75" customHeight="1" s="48">
      <c r="A18" s="93" t="n"/>
      <c r="B18" s="93" t="n"/>
      <c r="C18" s="93" t="n"/>
      <c r="D18" s="93" t="n"/>
      <c r="E18" s="93" t="n"/>
      <c r="F18" s="93" t="n"/>
      <c r="G18" s="93" t="n"/>
      <c r="H18" s="93" t="n"/>
    </row>
    <row r="19" ht="21.75" customHeight="1" s="48">
      <c r="A19" s="93" t="n"/>
      <c r="B19" s="93" t="n"/>
      <c r="C19" s="93" t="n"/>
      <c r="D19" s="93" t="n"/>
      <c r="E19" s="93" t="n"/>
      <c r="F19" s="93" t="n"/>
      <c r="G19" s="93" t="n"/>
      <c r="H19" s="93" t="n"/>
    </row>
    <row r="20" ht="21.75" customHeight="1" s="48">
      <c r="A20" s="93" t="n"/>
      <c r="B20" s="93" t="n"/>
      <c r="C20" s="93" t="n"/>
      <c r="D20" s="93" t="n"/>
      <c r="E20" s="93" t="n"/>
      <c r="F20" s="93" t="n"/>
      <c r="G20" s="93" t="n"/>
      <c r="H20" s="93" t="n"/>
    </row>
    <row r="21" ht="21.75" customHeight="1" s="48">
      <c r="A21" s="93" t="n"/>
      <c r="B21" s="93" t="n"/>
      <c r="C21" s="93" t="n"/>
      <c r="D21" s="93" t="n"/>
      <c r="E21" s="93" t="n"/>
      <c r="F21" s="93" t="n"/>
      <c r="G21" s="93" t="n"/>
      <c r="H21" s="93" t="n"/>
    </row>
    <row r="22" ht="21.75" customHeight="1" s="48">
      <c r="A22" s="93" t="n"/>
      <c r="B22" s="93" t="n"/>
      <c r="C22" s="93" t="n"/>
      <c r="D22" s="93" t="n"/>
      <c r="E22" s="93" t="n"/>
      <c r="F22" s="93" t="n"/>
      <c r="G22" s="93" t="n"/>
      <c r="H22" s="93" t="n"/>
    </row>
    <row r="23" ht="21.75" customHeight="1" s="48">
      <c r="A23" s="93" t="n"/>
      <c r="B23" s="93" t="n"/>
      <c r="C23" s="93" t="n"/>
      <c r="D23" s="93" t="n"/>
      <c r="E23" s="93" t="n"/>
      <c r="F23" s="93" t="n"/>
      <c r="G23" s="93" t="n"/>
      <c r="H23" s="93" t="n"/>
    </row>
    <row r="24" ht="21.75" customHeight="1" s="48">
      <c r="A24" s="93" t="n"/>
      <c r="B24" s="93" t="n"/>
      <c r="C24" s="93" t="n"/>
      <c r="D24" s="93" t="n"/>
      <c r="E24" s="93" t="n"/>
      <c r="F24" s="93" t="n"/>
      <c r="G24" s="93" t="n"/>
      <c r="H24" s="93" t="n"/>
    </row>
    <row r="25" ht="21.75" customHeight="1" s="48">
      <c r="A25" s="93" t="n"/>
      <c r="B25" s="93" t="n"/>
      <c r="C25" s="93" t="n"/>
      <c r="D25" s="93" t="n"/>
      <c r="E25" s="93" t="n"/>
      <c r="F25" s="93" t="n"/>
      <c r="G25" s="93" t="n"/>
      <c r="H25" s="93" t="n"/>
    </row>
    <row r="26" ht="21.75" customHeight="1" s="48">
      <c r="A26" s="93" t="n"/>
      <c r="B26" s="93" t="n"/>
      <c r="C26" s="93" t="n"/>
      <c r="D26" s="93" t="n"/>
      <c r="E26" s="93" t="n"/>
      <c r="F26" s="93" t="n"/>
      <c r="G26" s="93" t="n"/>
      <c r="H26" s="93" t="n"/>
    </row>
    <row r="27" ht="21.75" customHeight="1" s="48">
      <c r="A27" s="93" t="n"/>
      <c r="B27" s="93" t="n"/>
      <c r="C27" s="93" t="n"/>
      <c r="D27" s="93" t="n"/>
      <c r="E27" s="93" t="n"/>
      <c r="F27" s="93" t="n"/>
      <c r="G27" s="93" t="n"/>
      <c r="H27" s="93" t="n"/>
    </row>
    <row r="28" ht="21.75" customHeight="1" s="48">
      <c r="A28" s="93" t="n"/>
      <c r="B28" s="93" t="n"/>
      <c r="C28" s="93" t="n"/>
      <c r="D28" s="93" t="n"/>
      <c r="E28" s="93" t="n"/>
      <c r="F28" s="93" t="n"/>
      <c r="G28" s="93" t="n"/>
      <c r="H28" s="93" t="n"/>
    </row>
    <row r="29" ht="21.75" customHeight="1" s="48">
      <c r="A29" s="93" t="n"/>
      <c r="B29" s="93" t="n"/>
      <c r="C29" s="93" t="n"/>
      <c r="D29" s="93" t="n"/>
      <c r="E29" s="93" t="n"/>
      <c r="F29" s="93" t="n"/>
      <c r="G29" s="93" t="n"/>
      <c r="H29" s="93" t="n"/>
    </row>
    <row r="30" ht="21.75" customHeight="1" s="48">
      <c r="A30" s="93" t="n"/>
      <c r="B30" s="93" t="n"/>
      <c r="C30" s="93" t="n"/>
      <c r="D30" s="93" t="n"/>
      <c r="E30" s="93" t="n"/>
      <c r="F30" s="93" t="n"/>
      <c r="G30" s="93" t="n"/>
      <c r="H30" s="93" t="n"/>
    </row>
    <row r="31" ht="21.75" customHeight="1" s="48">
      <c r="A31" s="93" t="n"/>
      <c r="B31" s="93" t="n"/>
      <c r="C31" s="93" t="n"/>
      <c r="D31" s="93" t="n"/>
      <c r="E31" s="93" t="n"/>
      <c r="F31" s="93" t="n"/>
      <c r="G31" s="93" t="n"/>
      <c r="H31" s="93" t="n"/>
    </row>
    <row r="32" ht="21.75" customHeight="1" s="48">
      <c r="A32" s="93" t="n"/>
      <c r="B32" s="93" t="n"/>
      <c r="C32" s="93" t="n"/>
      <c r="D32" s="93" t="n"/>
      <c r="E32" s="93" t="n"/>
      <c r="F32" s="93" t="n"/>
      <c r="G32" s="93" t="n"/>
      <c r="H32" s="93" t="n"/>
    </row>
    <row r="33" ht="21.75" customHeight="1" s="48">
      <c r="A33" s="93" t="n"/>
      <c r="B33" s="93" t="n"/>
      <c r="C33" s="93" t="n"/>
      <c r="D33" s="93" t="n"/>
      <c r="E33" s="93" t="n"/>
      <c r="F33" s="93" t="n"/>
      <c r="G33" s="93" t="n"/>
      <c r="H33" s="93" t="n"/>
    </row>
    <row r="34" ht="21.75" customHeight="1" s="48">
      <c r="A34" s="93" t="n"/>
      <c r="B34" s="93" t="n"/>
      <c r="C34" s="93" t="n"/>
      <c r="D34" s="93" t="n"/>
      <c r="E34" s="93" t="n"/>
      <c r="F34" s="93" t="n"/>
      <c r="G34" s="93" t="n"/>
      <c r="H34" s="93" t="n"/>
    </row>
    <row r="35" ht="21.75" customHeight="1" s="48">
      <c r="A35" s="93" t="n"/>
      <c r="B35" s="93" t="n"/>
      <c r="C35" s="93" t="n"/>
      <c r="D35" s="93" t="n"/>
      <c r="E35" s="93" t="n"/>
      <c r="F35" s="93" t="n"/>
      <c r="G35" s="93" t="n"/>
      <c r="H35" s="93" t="n"/>
    </row>
    <row r="36" ht="21.75" customHeight="1" s="48">
      <c r="A36" s="93" t="n"/>
      <c r="B36" s="93" t="n"/>
      <c r="C36" s="93" t="n"/>
      <c r="D36" s="93" t="n"/>
      <c r="E36" s="93" t="n"/>
      <c r="F36" s="93" t="n"/>
      <c r="G36" s="93" t="n"/>
      <c r="H36" s="93" t="n"/>
    </row>
    <row r="37" ht="21.75" customHeight="1" s="48">
      <c r="A37" s="93" t="n"/>
      <c r="B37" s="93" t="n"/>
      <c r="C37" s="93" t="n"/>
      <c r="D37" s="93" t="n"/>
      <c r="E37" s="93" t="n"/>
      <c r="F37" s="93" t="n"/>
      <c r="G37" s="93" t="n"/>
      <c r="H37" s="93" t="n"/>
    </row>
    <row r="38" ht="21.75" customHeight="1" s="48">
      <c r="A38" s="93" t="n"/>
      <c r="B38" s="93" t="n"/>
      <c r="C38" s="93" t="n"/>
      <c r="D38" s="93" t="n"/>
      <c r="E38" s="93" t="n"/>
      <c r="F38" s="93" t="n"/>
      <c r="G38" s="93" t="n"/>
      <c r="H38" s="93" t="n"/>
    </row>
    <row r="39" ht="21.75" customHeight="1" s="48">
      <c r="A39" s="93" t="n"/>
      <c r="B39" s="93" t="n"/>
      <c r="C39" s="93" t="n"/>
      <c r="D39" s="93" t="n"/>
      <c r="E39" s="93" t="n"/>
      <c r="F39" s="93" t="n"/>
      <c r="G39" s="93" t="n"/>
      <c r="H39" s="93" t="n"/>
    </row>
    <row r="40" ht="21.75" customHeight="1" s="48">
      <c r="A40" s="93" t="n"/>
      <c r="B40" s="93" t="n"/>
      <c r="C40" s="93" t="n"/>
      <c r="D40" s="93" t="n"/>
      <c r="E40" s="93" t="n"/>
      <c r="F40" s="93" t="n"/>
      <c r="G40" s="93" t="n"/>
      <c r="H40" s="93" t="n"/>
    </row>
    <row r="41" ht="21.75" customHeight="1" s="48">
      <c r="A41" s="93" t="n"/>
      <c r="B41" s="93" t="n"/>
      <c r="C41" s="93" t="n"/>
      <c r="D41" s="93" t="n"/>
      <c r="E41" s="93" t="n"/>
      <c r="F41" s="93" t="n"/>
      <c r="G41" s="93" t="n"/>
      <c r="H41" s="93" t="n"/>
    </row>
    <row r="42" ht="21.75" customHeight="1" s="48">
      <c r="A42" s="93" t="n"/>
      <c r="B42" s="93" t="n"/>
      <c r="C42" s="93" t="n"/>
      <c r="D42" s="93" t="n"/>
      <c r="E42" s="93" t="n"/>
      <c r="F42" s="93" t="n"/>
      <c r="G42" s="93" t="n"/>
      <c r="H42" s="93" t="n"/>
    </row>
    <row r="43" ht="21.75" customHeight="1" s="48">
      <c r="A43" s="93" t="n"/>
      <c r="B43" s="93" t="n"/>
      <c r="C43" s="93" t="n"/>
      <c r="D43" s="93" t="n"/>
      <c r="E43" s="93" t="n"/>
      <c r="F43" s="93" t="n"/>
      <c r="G43" s="93" t="n"/>
      <c r="H43" s="93" t="n"/>
    </row>
    <row r="44" ht="21.75" customHeight="1" s="48">
      <c r="A44" s="93" t="n"/>
      <c r="B44" s="93" t="n"/>
      <c r="C44" s="93" t="n"/>
      <c r="D44" s="93" t="n"/>
      <c r="E44" s="93" t="n"/>
      <c r="F44" s="93" t="n"/>
      <c r="G44" s="93" t="n"/>
      <c r="H44" s="93" t="n"/>
    </row>
    <row r="45" ht="21.75" customHeight="1" s="48">
      <c r="A45" s="93" t="n"/>
      <c r="B45" s="93" t="n"/>
      <c r="C45" s="93" t="n"/>
      <c r="D45" s="93" t="n"/>
      <c r="E45" s="93" t="n"/>
      <c r="F45" s="93" t="n"/>
      <c r="G45" s="93" t="n"/>
      <c r="H45" s="93" t="n"/>
    </row>
    <row r="46" ht="21.75" customHeight="1" s="48">
      <c r="A46" s="93" t="n"/>
      <c r="B46" s="93" t="n"/>
      <c r="C46" s="93" t="n"/>
      <c r="D46" s="93" t="n"/>
      <c r="E46" s="93" t="n"/>
      <c r="F46" s="93" t="n"/>
      <c r="G46" s="93" t="n"/>
      <c r="H46" s="93" t="n"/>
    </row>
    <row r="47" ht="21.75" customHeight="1" s="48">
      <c r="A47" s="93" t="n"/>
      <c r="B47" s="93" t="n"/>
      <c r="C47" s="93" t="n"/>
      <c r="D47" s="93" t="n"/>
      <c r="E47" s="93" t="n"/>
      <c r="F47" s="93" t="n"/>
      <c r="G47" s="93" t="n"/>
      <c r="H47" s="93" t="n"/>
    </row>
    <row r="48" ht="21.75" customHeight="1" s="48">
      <c r="A48" s="93" t="n"/>
      <c r="B48" s="93" t="n"/>
      <c r="C48" s="93" t="n"/>
      <c r="D48" s="93" t="n"/>
      <c r="E48" s="93" t="n"/>
      <c r="F48" s="93" t="n"/>
      <c r="G48" s="93" t="n"/>
      <c r="H48" s="93" t="n"/>
    </row>
    <row r="49" ht="21.75" customHeight="1" s="48">
      <c r="A49" s="93" t="n"/>
      <c r="B49" s="93" t="n"/>
      <c r="C49" s="93" t="n"/>
      <c r="D49" s="93" t="n"/>
      <c r="E49" s="93" t="n"/>
      <c r="F49" s="93" t="n"/>
      <c r="G49" s="93" t="n"/>
      <c r="H49" s="93" t="n"/>
    </row>
    <row r="50" ht="21.75" customHeight="1" s="48">
      <c r="A50" s="93" t="n"/>
      <c r="B50" s="93" t="n"/>
      <c r="C50" s="93" t="n"/>
      <c r="D50" s="93" t="n"/>
      <c r="E50" s="93" t="n"/>
      <c r="F50" s="93" t="n"/>
      <c r="G50" s="93" t="n"/>
      <c r="H50" s="93" t="n"/>
    </row>
  </sheetData>
  <mergeCells count="2">
    <mergeCell ref="A2:H2"/>
    <mergeCell ref="A1:H1"/>
  </mergeCells>
  <conditionalFormatting sqref="G5:G50">
    <cfRule type="expression" rank="0" priority="2" equalAverage="0" aboveAverage="0" dxfId="0" text="" percent="0" bottom="0">
      <formula>EXACT($G5,"approved")</formula>
    </cfRule>
    <cfRule type="expression" rank="0" priority="3" equalAverage="0" aboveAverage="0" dxfId="0" text="" percent="0" bottom="0">
      <formula>EXACT($G5,"done")</formula>
    </cfRule>
    <cfRule type="expression" rank="0" priority="4" equalAverage="0" aboveAverage="0" dxfId="1" text="" percent="0" bottom="0">
      <formula>EXACT($G5,"in_progress")</formula>
    </cfRule>
    <cfRule type="expression" rank="0" priority="5" equalAverage="0" aboveAverage="0" dxfId="1" text="" percent="0" bottom="0">
      <formula>EXACT($G5,"awaiting_approval")</formula>
    </cfRule>
    <cfRule type="expression" rank="0" priority="6" equalAverage="0" aboveAverage="0" dxfId="2" text="" percent="0" bottom="0">
      <formula>EXACT($G5,"blocked")</formula>
    </cfRule>
    <cfRule type="expression" rank="0" priority="7" equalAverage="0" aboveAverage="0" dxfId="2" text="" percent="0" bottom="0">
      <formula>EXACT($G5,"cancelled")</formula>
    </cfRule>
    <cfRule type="expression" rank="0" priority="8" equalAverage="0" aboveAverage="0" dxfId="3" text="" percent="0" bottom="0">
      <formula>EXACT($G5,"draft")</formula>
    </cfRule>
  </conditionalFormatting>
  <dataValidations count="1">
    <dataValidation sqref="G5:G50" showDropDown="0" showInputMessage="0" showErrorMessage="0" allowBlank="1" type="list" errorStyle="stop" operator="between">
      <formula1>"draft,awaiting_approval,approved,in_progress,done,blocked,cancelled"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6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47" min="1" max="2"/>
    <col width="14" customWidth="1" style="47" min="3" max="4"/>
    <col width="36" customWidth="1" style="47" min="5" max="5"/>
    <col width="28" customWidth="1" style="47" min="6" max="6"/>
    <col width="12" customWidth="1" style="47" min="7" max="7"/>
    <col width="18" customWidth="1" style="47" min="8" max="8"/>
    <col width="14" customWidth="1" style="47" min="9" max="9"/>
    <col width="26" customWidth="1" style="47" min="10" max="10"/>
  </cols>
  <sheetData>
    <row r="1" ht="24" customHeight="1" s="48">
      <c r="A1" s="89" t="inlineStr">
        <is>
          <t>PLANS  —  division-proposed approaches</t>
        </is>
      </c>
    </row>
    <row r="2" ht="15" customHeight="1" s="48">
      <c r="A2" s="90" t="inlineStr">
        <is>
          <t>Division writes the plan. CEO sees it in Decisions Pending and approves/rejects/amends.</t>
        </is>
      </c>
    </row>
    <row r="3"/>
    <row r="4" ht="30" customHeight="1" s="48">
      <c r="A4" s="67" t="inlineStr">
        <is>
          <t>Plan ID</t>
        </is>
      </c>
      <c r="B4" s="67" t="inlineStr">
        <is>
          <t>Goal ID</t>
        </is>
      </c>
      <c r="C4" s="67" t="inlineStr">
        <is>
          <t>Division</t>
        </is>
      </c>
      <c r="D4" s="67" t="inlineStr">
        <is>
          <t>Date proposed</t>
        </is>
      </c>
      <c r="E4" s="67" t="inlineStr">
        <is>
          <t>Plan summary</t>
        </is>
      </c>
      <c r="F4" s="67" t="inlineStr">
        <is>
          <t>Success criteria</t>
        </is>
      </c>
      <c r="G4" s="67" t="inlineStr">
        <is>
          <t>Est. effort</t>
        </is>
      </c>
      <c r="H4" s="67" t="inlineStr">
        <is>
          <t>Status</t>
        </is>
      </c>
      <c r="I4" s="67" t="inlineStr">
        <is>
          <t>CEO verdict</t>
        </is>
      </c>
      <c r="J4" s="67" t="inlineStr">
        <is>
          <t>Verdict notes</t>
        </is>
      </c>
    </row>
    <row r="5" ht="48" customHeight="1" s="48">
      <c r="A5" s="91" t="inlineStr">
        <is>
          <t>P-001</t>
        </is>
      </c>
      <c r="B5" s="93" t="inlineStr">
        <is>
          <t>G-001</t>
        </is>
      </c>
      <c r="C5" s="93" t="inlineStr">
        <is>
          <t>Trading</t>
        </is>
      </c>
      <c r="D5" s="92" t="n">
        <v>46125</v>
      </c>
      <c r="E5" s="93" t="inlineStr">
        <is>
          <t>Add cached fetcher with 6h max staleness; fall back to 'no data' rather than serve stale.</t>
        </is>
      </c>
      <c r="F5" s="93" t="inlineStr">
        <is>
          <t>Fresh signal &lt;6h for 7d straight</t>
        </is>
      </c>
      <c r="G5" s="93" t="inlineStr">
        <is>
          <t>2-3 hrs</t>
        </is>
      </c>
      <c r="H5" s="93" t="inlineStr">
        <is>
          <t>awaiting_approval</t>
        </is>
      </c>
      <c r="I5" s="93" t="n"/>
      <c r="J5" s="93" t="n"/>
    </row>
    <row r="6" ht="48" customHeight="1" s="48">
      <c r="A6" s="91" t="inlineStr">
        <is>
          <t>P-002</t>
        </is>
      </c>
      <c r="B6" s="93" t="inlineStr">
        <is>
          <t>G-002</t>
        </is>
      </c>
      <c r="C6" s="93" t="inlineStr">
        <is>
          <t>Research</t>
        </is>
      </c>
      <c r="D6" s="92" t="n">
        <v>46125</v>
      </c>
      <c r="E6" s="93" t="inlineStr">
        <is>
          <t>Spin up Research division (Stage E). Manager + Topic Scout + Synthesiser. Weekly Monday brief.</t>
        </is>
      </c>
      <c r="F6" s="93" t="inlineStr">
        <is>
          <t>Brief generated 2 Mondays in a row</t>
        </is>
      </c>
      <c r="G6" s="93" t="inlineStr">
        <is>
          <t>1 day</t>
        </is>
      </c>
      <c r="H6" s="93" t="inlineStr">
        <is>
          <t>awaiting_approval</t>
        </is>
      </c>
      <c r="I6" s="93" t="n"/>
      <c r="J6" s="93" t="n"/>
    </row>
    <row r="7" ht="48" customHeight="1" s="48">
      <c r="A7" s="91" t="inlineStr">
        <is>
          <t>P-003</t>
        </is>
      </c>
      <c r="B7" s="93" t="inlineStr">
        <is>
          <t>G-003</t>
        </is>
      </c>
      <c r="C7" s="93" t="inlineStr">
        <is>
          <t>Holding</t>
        </is>
      </c>
      <c r="D7" s="92" t="n">
        <v>46125</v>
      </c>
      <c r="E7" s="93" t="inlineStr">
        <is>
          <t>Execute Stages A, B, C, D in order. Then re-measure company_status.</t>
        </is>
      </c>
      <c r="F7" s="93" t="inlineStr">
        <is>
          <t>company_status=GREEN x14d</t>
        </is>
      </c>
      <c r="G7" s="93" t="inlineStr">
        <is>
          <t>6 weeks</t>
        </is>
      </c>
      <c r="H7" s="93" t="inlineStr">
        <is>
          <t>draft</t>
        </is>
      </c>
      <c r="I7" s="93" t="n"/>
      <c r="J7" s="93" t="n"/>
    </row>
    <row r="8" ht="48" customHeight="1" s="48">
      <c r="A8" s="91" t="inlineStr">
        <is>
          <t>P-004</t>
        </is>
      </c>
      <c r="B8" s="93" t="inlineStr">
        <is>
          <t>G-005</t>
        </is>
      </c>
      <c r="C8" s="93" t="inlineStr">
        <is>
          <t>Holding</t>
        </is>
      </c>
      <c r="D8" s="92" t="n">
        <v>46125</v>
      </c>
      <c r="E8" s="93" t="inlineStr">
        <is>
          <t>Add CEO-time-spent log to Time Saved sheet. Weekly self-report via /time command in Telegram.</t>
        </is>
      </c>
      <c r="F8" s="93" t="inlineStr">
        <is>
          <t>Weekly avg &lt;30 min</t>
        </is>
      </c>
      <c r="G8" s="93" t="inlineStr">
        <is>
          <t>1 hr</t>
        </is>
      </c>
      <c r="H8" s="93" t="inlineStr">
        <is>
          <t>draft</t>
        </is>
      </c>
      <c r="I8" s="93" t="n"/>
      <c r="J8" s="93" t="n"/>
    </row>
    <row r="9" ht="24" customHeight="1" s="48">
      <c r="A9" s="93" t="n"/>
      <c r="B9" s="93" t="n"/>
      <c r="C9" s="93" t="n"/>
      <c r="D9" s="93" t="n"/>
      <c r="E9" s="93" t="n"/>
      <c r="F9" s="93" t="n"/>
      <c r="G9" s="93" t="n"/>
      <c r="H9" s="93" t="n"/>
      <c r="I9" s="93" t="n"/>
      <c r="J9" s="93" t="n"/>
    </row>
    <row r="10" ht="24" customHeight="1" s="48">
      <c r="A10" s="93" t="n"/>
      <c r="B10" s="93" t="n"/>
      <c r="C10" s="93" t="n"/>
      <c r="D10" s="93" t="n"/>
      <c r="E10" s="93" t="n"/>
      <c r="F10" s="93" t="n"/>
      <c r="G10" s="93" t="n"/>
      <c r="H10" s="93" t="n"/>
      <c r="I10" s="93" t="n"/>
      <c r="J10" s="93" t="n"/>
    </row>
    <row r="11" ht="24" customHeight="1" s="48">
      <c r="A11" s="93" t="n"/>
      <c r="B11" s="93" t="n"/>
      <c r="C11" s="93" t="n"/>
      <c r="D11" s="93" t="n"/>
      <c r="E11" s="93" t="n"/>
      <c r="F11" s="93" t="n"/>
      <c r="G11" s="93" t="n"/>
      <c r="H11" s="93" t="n"/>
      <c r="I11" s="93" t="n"/>
      <c r="J11" s="93" t="n"/>
    </row>
    <row r="12" ht="24" customHeight="1" s="48">
      <c r="A12" s="93" t="n"/>
      <c r="B12" s="93" t="n"/>
      <c r="C12" s="93" t="n"/>
      <c r="D12" s="93" t="n"/>
      <c r="E12" s="93" t="n"/>
      <c r="F12" s="93" t="n"/>
      <c r="G12" s="93" t="n"/>
      <c r="H12" s="93" t="n"/>
      <c r="I12" s="93" t="n"/>
      <c r="J12" s="93" t="n"/>
    </row>
    <row r="13" ht="24" customHeight="1" s="48">
      <c r="A13" s="93" t="n"/>
      <c r="B13" s="93" t="n"/>
      <c r="C13" s="93" t="n"/>
      <c r="D13" s="93" t="n"/>
      <c r="E13" s="93" t="n"/>
      <c r="F13" s="93" t="n"/>
      <c r="G13" s="93" t="n"/>
      <c r="H13" s="93" t="n"/>
      <c r="I13" s="93" t="n"/>
      <c r="J13" s="93" t="n"/>
    </row>
    <row r="14" ht="24" customHeight="1" s="48">
      <c r="A14" s="93" t="n"/>
      <c r="B14" s="93" t="n"/>
      <c r="C14" s="93" t="n"/>
      <c r="D14" s="93" t="n"/>
      <c r="E14" s="93" t="n"/>
      <c r="F14" s="93" t="n"/>
      <c r="G14" s="93" t="n"/>
      <c r="H14" s="93" t="n"/>
      <c r="I14" s="93" t="n"/>
      <c r="J14" s="93" t="n"/>
    </row>
    <row r="15" ht="24" customHeight="1" s="48">
      <c r="A15" s="93" t="n"/>
      <c r="B15" s="93" t="n"/>
      <c r="C15" s="93" t="n"/>
      <c r="D15" s="93" t="n"/>
      <c r="E15" s="93" t="n"/>
      <c r="F15" s="93" t="n"/>
      <c r="G15" s="93" t="n"/>
      <c r="H15" s="93" t="n"/>
      <c r="I15" s="93" t="n"/>
      <c r="J15" s="93" t="n"/>
    </row>
    <row r="16" ht="24" customHeight="1" s="48">
      <c r="A16" s="93" t="n"/>
      <c r="B16" s="93" t="n"/>
      <c r="C16" s="93" t="n"/>
      <c r="D16" s="93" t="n"/>
      <c r="E16" s="93" t="n"/>
      <c r="F16" s="93" t="n"/>
      <c r="G16" s="93" t="n"/>
      <c r="H16" s="93" t="n"/>
      <c r="I16" s="93" t="n"/>
      <c r="J16" s="93" t="n"/>
    </row>
    <row r="17" ht="24" customHeight="1" s="48">
      <c r="A17" s="93" t="n"/>
      <c r="B17" s="93" t="n"/>
      <c r="C17" s="93" t="n"/>
      <c r="D17" s="93" t="n"/>
      <c r="E17" s="93" t="n"/>
      <c r="F17" s="93" t="n"/>
      <c r="G17" s="93" t="n"/>
      <c r="H17" s="93" t="n"/>
      <c r="I17" s="93" t="n"/>
      <c r="J17" s="93" t="n"/>
    </row>
    <row r="18" ht="24" customHeight="1" s="48">
      <c r="A18" s="93" t="n"/>
      <c r="B18" s="93" t="n"/>
      <c r="C18" s="93" t="n"/>
      <c r="D18" s="93" t="n"/>
      <c r="E18" s="93" t="n"/>
      <c r="F18" s="93" t="n"/>
      <c r="G18" s="93" t="n"/>
      <c r="H18" s="93" t="n"/>
      <c r="I18" s="93" t="n"/>
      <c r="J18" s="93" t="n"/>
    </row>
    <row r="19" ht="24" customHeight="1" s="48">
      <c r="A19" s="93" t="n"/>
      <c r="B19" s="93" t="n"/>
      <c r="C19" s="93" t="n"/>
      <c r="D19" s="93" t="n"/>
      <c r="E19" s="93" t="n"/>
      <c r="F19" s="93" t="n"/>
      <c r="G19" s="93" t="n"/>
      <c r="H19" s="93" t="n"/>
      <c r="I19" s="93" t="n"/>
      <c r="J19" s="93" t="n"/>
    </row>
    <row r="20" ht="24" customHeight="1" s="48">
      <c r="A20" s="93" t="n"/>
      <c r="B20" s="93" t="n"/>
      <c r="C20" s="93" t="n"/>
      <c r="D20" s="93" t="n"/>
      <c r="E20" s="93" t="n"/>
      <c r="F20" s="93" t="n"/>
      <c r="G20" s="93" t="n"/>
      <c r="H20" s="93" t="n"/>
      <c r="I20" s="93" t="n"/>
      <c r="J20" s="93" t="n"/>
    </row>
    <row r="21" ht="24" customHeight="1" s="48">
      <c r="A21" s="93" t="n"/>
      <c r="B21" s="93" t="n"/>
      <c r="C21" s="93" t="n"/>
      <c r="D21" s="93" t="n"/>
      <c r="E21" s="93" t="n"/>
      <c r="F21" s="93" t="n"/>
      <c r="G21" s="93" t="n"/>
      <c r="H21" s="93" t="n"/>
      <c r="I21" s="93" t="n"/>
      <c r="J21" s="93" t="n"/>
    </row>
    <row r="22" ht="24" customHeight="1" s="48">
      <c r="A22" s="93" t="n"/>
      <c r="B22" s="93" t="n"/>
      <c r="C22" s="93" t="n"/>
      <c r="D22" s="93" t="n"/>
      <c r="E22" s="93" t="n"/>
      <c r="F22" s="93" t="n"/>
      <c r="G22" s="93" t="n"/>
      <c r="H22" s="93" t="n"/>
      <c r="I22" s="93" t="n"/>
      <c r="J22" s="93" t="n"/>
    </row>
    <row r="23" ht="24" customHeight="1" s="48">
      <c r="A23" s="93" t="n"/>
      <c r="B23" s="93" t="n"/>
      <c r="C23" s="93" t="n"/>
      <c r="D23" s="93" t="n"/>
      <c r="E23" s="93" t="n"/>
      <c r="F23" s="93" t="n"/>
      <c r="G23" s="93" t="n"/>
      <c r="H23" s="93" t="n"/>
      <c r="I23" s="93" t="n"/>
      <c r="J23" s="93" t="n"/>
    </row>
    <row r="24" ht="24" customHeight="1" s="48">
      <c r="A24" s="93" t="n"/>
      <c r="B24" s="93" t="n"/>
      <c r="C24" s="93" t="n"/>
      <c r="D24" s="93" t="n"/>
      <c r="E24" s="93" t="n"/>
      <c r="F24" s="93" t="n"/>
      <c r="G24" s="93" t="n"/>
      <c r="H24" s="93" t="n"/>
      <c r="I24" s="93" t="n"/>
      <c r="J24" s="93" t="n"/>
    </row>
    <row r="25" ht="24" customHeight="1" s="48">
      <c r="A25" s="93" t="n"/>
      <c r="B25" s="93" t="n"/>
      <c r="C25" s="93" t="n"/>
      <c r="D25" s="93" t="n"/>
      <c r="E25" s="93" t="n"/>
      <c r="F25" s="93" t="n"/>
      <c r="G25" s="93" t="n"/>
      <c r="H25" s="93" t="n"/>
      <c r="I25" s="93" t="n"/>
      <c r="J25" s="93" t="n"/>
    </row>
    <row r="26" ht="24" customHeight="1" s="48">
      <c r="A26" s="93" t="n"/>
      <c r="B26" s="93" t="n"/>
      <c r="C26" s="93" t="n"/>
      <c r="D26" s="93" t="n"/>
      <c r="E26" s="93" t="n"/>
      <c r="F26" s="93" t="n"/>
      <c r="G26" s="93" t="n"/>
      <c r="H26" s="93" t="n"/>
      <c r="I26" s="93" t="n"/>
      <c r="J26" s="93" t="n"/>
    </row>
    <row r="27" ht="24" customHeight="1" s="48">
      <c r="A27" s="93" t="n"/>
      <c r="B27" s="93" t="n"/>
      <c r="C27" s="93" t="n"/>
      <c r="D27" s="93" t="n"/>
      <c r="E27" s="93" t="n"/>
      <c r="F27" s="93" t="n"/>
      <c r="G27" s="93" t="n"/>
      <c r="H27" s="93" t="n"/>
      <c r="I27" s="93" t="n"/>
      <c r="J27" s="93" t="n"/>
    </row>
    <row r="28" ht="24" customHeight="1" s="48">
      <c r="A28" s="93" t="n"/>
      <c r="B28" s="93" t="n"/>
      <c r="C28" s="93" t="n"/>
      <c r="D28" s="93" t="n"/>
      <c r="E28" s="93" t="n"/>
      <c r="F28" s="93" t="n"/>
      <c r="G28" s="93" t="n"/>
      <c r="H28" s="93" t="n"/>
      <c r="I28" s="93" t="n"/>
      <c r="J28" s="93" t="n"/>
    </row>
    <row r="29" ht="24" customHeight="1" s="48">
      <c r="A29" s="93" t="n"/>
      <c r="B29" s="93" t="n"/>
      <c r="C29" s="93" t="n"/>
      <c r="D29" s="93" t="n"/>
      <c r="E29" s="93" t="n"/>
      <c r="F29" s="93" t="n"/>
      <c r="G29" s="93" t="n"/>
      <c r="H29" s="93" t="n"/>
      <c r="I29" s="93" t="n"/>
      <c r="J29" s="93" t="n"/>
    </row>
    <row r="30" ht="24" customHeight="1" s="48">
      <c r="A30" s="93" t="n"/>
      <c r="B30" s="93" t="n"/>
      <c r="C30" s="93" t="n"/>
      <c r="D30" s="93" t="n"/>
      <c r="E30" s="93" t="n"/>
      <c r="F30" s="93" t="n"/>
      <c r="G30" s="93" t="n"/>
      <c r="H30" s="93" t="n"/>
      <c r="I30" s="93" t="n"/>
      <c r="J30" s="93" t="n"/>
    </row>
    <row r="31" ht="24" customHeight="1" s="48">
      <c r="A31" s="93" t="n"/>
      <c r="B31" s="93" t="n"/>
      <c r="C31" s="93" t="n"/>
      <c r="D31" s="93" t="n"/>
      <c r="E31" s="93" t="n"/>
      <c r="F31" s="93" t="n"/>
      <c r="G31" s="93" t="n"/>
      <c r="H31" s="93" t="n"/>
      <c r="I31" s="93" t="n"/>
      <c r="J31" s="93" t="n"/>
    </row>
    <row r="32" ht="24" customHeight="1" s="48">
      <c r="A32" s="93" t="n"/>
      <c r="B32" s="93" t="n"/>
      <c r="C32" s="93" t="n"/>
      <c r="D32" s="93" t="n"/>
      <c r="E32" s="93" t="n"/>
      <c r="F32" s="93" t="n"/>
      <c r="G32" s="93" t="n"/>
      <c r="H32" s="93" t="n"/>
      <c r="I32" s="93" t="n"/>
      <c r="J32" s="93" t="n"/>
    </row>
    <row r="33" ht="24" customHeight="1" s="48">
      <c r="A33" s="93" t="n"/>
      <c r="B33" s="93" t="n"/>
      <c r="C33" s="93" t="n"/>
      <c r="D33" s="93" t="n"/>
      <c r="E33" s="93" t="n"/>
      <c r="F33" s="93" t="n"/>
      <c r="G33" s="93" t="n"/>
      <c r="H33" s="93" t="n"/>
      <c r="I33" s="93" t="n"/>
      <c r="J33" s="93" t="n"/>
    </row>
    <row r="34" ht="24" customHeight="1" s="48">
      <c r="A34" s="93" t="n"/>
      <c r="B34" s="93" t="n"/>
      <c r="C34" s="93" t="n"/>
      <c r="D34" s="93" t="n"/>
      <c r="E34" s="93" t="n"/>
      <c r="F34" s="93" t="n"/>
      <c r="G34" s="93" t="n"/>
      <c r="H34" s="93" t="n"/>
      <c r="I34" s="93" t="n"/>
      <c r="J34" s="93" t="n"/>
    </row>
    <row r="35" ht="24" customHeight="1" s="48">
      <c r="A35" s="93" t="n"/>
      <c r="B35" s="93" t="n"/>
      <c r="C35" s="93" t="n"/>
      <c r="D35" s="93" t="n"/>
      <c r="E35" s="93" t="n"/>
      <c r="F35" s="93" t="n"/>
      <c r="G35" s="93" t="n"/>
      <c r="H35" s="93" t="n"/>
      <c r="I35" s="93" t="n"/>
      <c r="J35" s="93" t="n"/>
    </row>
    <row r="36" ht="24" customHeight="1" s="48">
      <c r="A36" s="93" t="n"/>
      <c r="B36" s="93" t="n"/>
      <c r="C36" s="93" t="n"/>
      <c r="D36" s="93" t="n"/>
      <c r="E36" s="93" t="n"/>
      <c r="F36" s="93" t="n"/>
      <c r="G36" s="93" t="n"/>
      <c r="H36" s="93" t="n"/>
      <c r="I36" s="93" t="n"/>
      <c r="J36" s="93" t="n"/>
    </row>
    <row r="37" ht="24" customHeight="1" s="48">
      <c r="A37" s="93" t="n"/>
      <c r="B37" s="93" t="n"/>
      <c r="C37" s="93" t="n"/>
      <c r="D37" s="93" t="n"/>
      <c r="E37" s="93" t="n"/>
      <c r="F37" s="93" t="n"/>
      <c r="G37" s="93" t="n"/>
      <c r="H37" s="93" t="n"/>
      <c r="I37" s="93" t="n"/>
      <c r="J37" s="93" t="n"/>
    </row>
    <row r="38" ht="24" customHeight="1" s="48">
      <c r="A38" s="93" t="n"/>
      <c r="B38" s="93" t="n"/>
      <c r="C38" s="93" t="n"/>
      <c r="D38" s="93" t="n"/>
      <c r="E38" s="93" t="n"/>
      <c r="F38" s="93" t="n"/>
      <c r="G38" s="93" t="n"/>
      <c r="H38" s="93" t="n"/>
      <c r="I38" s="93" t="n"/>
      <c r="J38" s="93" t="n"/>
    </row>
    <row r="39" ht="24" customHeight="1" s="48">
      <c r="A39" s="93" t="n"/>
      <c r="B39" s="93" t="n"/>
      <c r="C39" s="93" t="n"/>
      <c r="D39" s="93" t="n"/>
      <c r="E39" s="93" t="n"/>
      <c r="F39" s="93" t="n"/>
      <c r="G39" s="93" t="n"/>
      <c r="H39" s="93" t="n"/>
      <c r="I39" s="93" t="n"/>
      <c r="J39" s="93" t="n"/>
    </row>
    <row r="40" ht="24" customHeight="1" s="48">
      <c r="A40" s="93" t="n"/>
      <c r="B40" s="93" t="n"/>
      <c r="C40" s="93" t="n"/>
      <c r="D40" s="93" t="n"/>
      <c r="E40" s="93" t="n"/>
      <c r="F40" s="93" t="n"/>
      <c r="G40" s="93" t="n"/>
      <c r="H40" s="93" t="n"/>
      <c r="I40" s="93" t="n"/>
      <c r="J40" s="93" t="n"/>
    </row>
    <row r="41" ht="24" customHeight="1" s="48">
      <c r="A41" s="93" t="n"/>
      <c r="B41" s="93" t="n"/>
      <c r="C41" s="93" t="n"/>
      <c r="D41" s="93" t="n"/>
      <c r="E41" s="93" t="n"/>
      <c r="F41" s="93" t="n"/>
      <c r="G41" s="93" t="n"/>
      <c r="H41" s="93" t="n"/>
      <c r="I41" s="93" t="n"/>
      <c r="J41" s="93" t="n"/>
    </row>
    <row r="42" ht="24" customHeight="1" s="48">
      <c r="A42" s="93" t="n"/>
      <c r="B42" s="93" t="n"/>
      <c r="C42" s="93" t="n"/>
      <c r="D42" s="93" t="n"/>
      <c r="E42" s="93" t="n"/>
      <c r="F42" s="93" t="n"/>
      <c r="G42" s="93" t="n"/>
      <c r="H42" s="93" t="n"/>
      <c r="I42" s="93" t="n"/>
      <c r="J42" s="93" t="n"/>
    </row>
    <row r="43" ht="24" customHeight="1" s="48">
      <c r="A43" s="93" t="n"/>
      <c r="B43" s="93" t="n"/>
      <c r="C43" s="93" t="n"/>
      <c r="D43" s="93" t="n"/>
      <c r="E43" s="93" t="n"/>
      <c r="F43" s="93" t="n"/>
      <c r="G43" s="93" t="n"/>
      <c r="H43" s="93" t="n"/>
      <c r="I43" s="93" t="n"/>
      <c r="J43" s="93" t="n"/>
    </row>
    <row r="44" ht="24" customHeight="1" s="48">
      <c r="A44" s="93" t="n"/>
      <c r="B44" s="93" t="n"/>
      <c r="C44" s="93" t="n"/>
      <c r="D44" s="93" t="n"/>
      <c r="E44" s="93" t="n"/>
      <c r="F44" s="93" t="n"/>
      <c r="G44" s="93" t="n"/>
      <c r="H44" s="93" t="n"/>
      <c r="I44" s="93" t="n"/>
      <c r="J44" s="93" t="n"/>
    </row>
    <row r="45" ht="24" customHeight="1" s="48">
      <c r="A45" s="93" t="n"/>
      <c r="B45" s="93" t="n"/>
      <c r="C45" s="93" t="n"/>
      <c r="D45" s="93" t="n"/>
      <c r="E45" s="93" t="n"/>
      <c r="F45" s="93" t="n"/>
      <c r="G45" s="93" t="n"/>
      <c r="H45" s="93" t="n"/>
      <c r="I45" s="93" t="n"/>
      <c r="J45" s="93" t="n"/>
    </row>
    <row r="46" ht="24" customHeight="1" s="48">
      <c r="A46" s="93" t="n"/>
      <c r="B46" s="93" t="n"/>
      <c r="C46" s="93" t="n"/>
      <c r="D46" s="93" t="n"/>
      <c r="E46" s="93" t="n"/>
      <c r="F46" s="93" t="n"/>
      <c r="G46" s="93" t="n"/>
      <c r="H46" s="93" t="n"/>
      <c r="I46" s="93" t="n"/>
      <c r="J46" s="93" t="n"/>
    </row>
    <row r="47" ht="24" customHeight="1" s="48">
      <c r="A47" s="93" t="n"/>
      <c r="B47" s="93" t="n"/>
      <c r="C47" s="93" t="n"/>
      <c r="D47" s="93" t="n"/>
      <c r="E47" s="93" t="n"/>
      <c r="F47" s="93" t="n"/>
      <c r="G47" s="93" t="n"/>
      <c r="H47" s="93" t="n"/>
      <c r="I47" s="93" t="n"/>
      <c r="J47" s="93" t="n"/>
    </row>
    <row r="48" ht="24" customHeight="1" s="48">
      <c r="A48" s="93" t="n"/>
      <c r="B48" s="93" t="n"/>
      <c r="C48" s="93" t="n"/>
      <c r="D48" s="93" t="n"/>
      <c r="E48" s="93" t="n"/>
      <c r="F48" s="93" t="n"/>
      <c r="G48" s="93" t="n"/>
      <c r="H48" s="93" t="n"/>
      <c r="I48" s="93" t="n"/>
      <c r="J48" s="93" t="n"/>
    </row>
    <row r="49" ht="24" customHeight="1" s="48">
      <c r="A49" s="93" t="n"/>
      <c r="B49" s="93" t="n"/>
      <c r="C49" s="93" t="n"/>
      <c r="D49" s="93" t="n"/>
      <c r="E49" s="93" t="n"/>
      <c r="F49" s="93" t="n"/>
      <c r="G49" s="93" t="n"/>
      <c r="H49" s="93" t="n"/>
      <c r="I49" s="93" t="n"/>
      <c r="J49" s="93" t="n"/>
    </row>
    <row r="50" ht="24" customHeight="1" s="48">
      <c r="A50" s="93" t="n"/>
      <c r="B50" s="93" t="n"/>
      <c r="C50" s="93" t="n"/>
      <c r="D50" s="93" t="n"/>
      <c r="E50" s="93" t="n"/>
      <c r="F50" s="93" t="n"/>
      <c r="G50" s="93" t="n"/>
      <c r="H50" s="93" t="n"/>
      <c r="I50" s="93" t="n"/>
      <c r="J50" s="93" t="n"/>
    </row>
    <row r="51" ht="24" customHeight="1" s="48">
      <c r="A51" s="93" t="n"/>
      <c r="B51" s="93" t="n"/>
      <c r="C51" s="93" t="n"/>
      <c r="D51" s="93" t="n"/>
      <c r="E51" s="93" t="n"/>
      <c r="F51" s="93" t="n"/>
      <c r="G51" s="93" t="n"/>
      <c r="H51" s="93" t="n"/>
      <c r="I51" s="93" t="n"/>
      <c r="J51" s="93" t="n"/>
    </row>
    <row r="52" ht="24" customHeight="1" s="48">
      <c r="A52" s="93" t="n"/>
      <c r="B52" s="93" t="n"/>
      <c r="C52" s="93" t="n"/>
      <c r="D52" s="93" t="n"/>
      <c r="E52" s="93" t="n"/>
      <c r="F52" s="93" t="n"/>
      <c r="G52" s="93" t="n"/>
      <c r="H52" s="93" t="n"/>
      <c r="I52" s="93" t="n"/>
      <c r="J52" s="93" t="n"/>
    </row>
    <row r="53" ht="24" customHeight="1" s="48">
      <c r="A53" s="93" t="n"/>
      <c r="B53" s="93" t="n"/>
      <c r="C53" s="93" t="n"/>
      <c r="D53" s="93" t="n"/>
      <c r="E53" s="93" t="n"/>
      <c r="F53" s="93" t="n"/>
      <c r="G53" s="93" t="n"/>
      <c r="H53" s="93" t="n"/>
      <c r="I53" s="93" t="n"/>
      <c r="J53" s="93" t="n"/>
    </row>
    <row r="54" ht="24" customHeight="1" s="48">
      <c r="A54" s="93" t="n"/>
      <c r="B54" s="93" t="n"/>
      <c r="C54" s="93" t="n"/>
      <c r="D54" s="93" t="n"/>
      <c r="E54" s="93" t="n"/>
      <c r="F54" s="93" t="n"/>
      <c r="G54" s="93" t="n"/>
      <c r="H54" s="93" t="n"/>
      <c r="I54" s="93" t="n"/>
      <c r="J54" s="93" t="n"/>
    </row>
    <row r="55" ht="24" customHeight="1" s="48">
      <c r="A55" s="93" t="n"/>
      <c r="B55" s="93" t="n"/>
      <c r="C55" s="93" t="n"/>
      <c r="D55" s="93" t="n"/>
      <c r="E55" s="93" t="n"/>
      <c r="F55" s="93" t="n"/>
      <c r="G55" s="93" t="n"/>
      <c r="H55" s="93" t="n"/>
      <c r="I55" s="93" t="n"/>
      <c r="J55" s="93" t="n"/>
    </row>
    <row r="56" ht="24" customHeight="1" s="48">
      <c r="A56" s="93" t="n"/>
      <c r="B56" s="93" t="n"/>
      <c r="C56" s="93" t="n"/>
      <c r="D56" s="93" t="n"/>
      <c r="E56" s="93" t="n"/>
      <c r="F56" s="93" t="n"/>
      <c r="G56" s="93" t="n"/>
      <c r="H56" s="93" t="n"/>
      <c r="I56" s="93" t="n"/>
      <c r="J56" s="93" t="n"/>
    </row>
    <row r="57" ht="24" customHeight="1" s="48">
      <c r="A57" s="93" t="n"/>
      <c r="B57" s="93" t="n"/>
      <c r="C57" s="93" t="n"/>
      <c r="D57" s="93" t="n"/>
      <c r="E57" s="93" t="n"/>
      <c r="F57" s="93" t="n"/>
      <c r="G57" s="93" t="n"/>
      <c r="H57" s="93" t="n"/>
      <c r="I57" s="93" t="n"/>
      <c r="J57" s="93" t="n"/>
    </row>
    <row r="58" ht="24" customHeight="1" s="48">
      <c r="A58" s="93" t="n"/>
      <c r="B58" s="93" t="n"/>
      <c r="C58" s="93" t="n"/>
      <c r="D58" s="93" t="n"/>
      <c r="E58" s="93" t="n"/>
      <c r="F58" s="93" t="n"/>
      <c r="G58" s="93" t="n"/>
      <c r="H58" s="93" t="n"/>
      <c r="I58" s="93" t="n"/>
      <c r="J58" s="93" t="n"/>
    </row>
    <row r="59" ht="24" customHeight="1" s="48">
      <c r="A59" s="93" t="n"/>
      <c r="B59" s="93" t="n"/>
      <c r="C59" s="93" t="n"/>
      <c r="D59" s="93" t="n"/>
      <c r="E59" s="93" t="n"/>
      <c r="F59" s="93" t="n"/>
      <c r="G59" s="93" t="n"/>
      <c r="H59" s="93" t="n"/>
      <c r="I59" s="93" t="n"/>
      <c r="J59" s="93" t="n"/>
    </row>
    <row r="60" ht="24" customHeight="1" s="48">
      <c r="A60" s="93" t="n"/>
      <c r="B60" s="93" t="n"/>
      <c r="C60" s="93" t="n"/>
      <c r="D60" s="93" t="n"/>
      <c r="E60" s="93" t="n"/>
      <c r="F60" s="93" t="n"/>
      <c r="G60" s="93" t="n"/>
      <c r="H60" s="93" t="n"/>
      <c r="I60" s="93" t="n"/>
      <c r="J60" s="93" t="n"/>
    </row>
  </sheetData>
  <mergeCells count="2">
    <mergeCell ref="A1:J1"/>
    <mergeCell ref="A2:J2"/>
  </mergeCells>
  <conditionalFormatting sqref="H5:H60">
    <cfRule type="expression" rank="0" priority="2" equalAverage="0" aboveAverage="0" dxfId="0" text="" percent="0" bottom="0">
      <formula>EXACT($H5,"approved")</formula>
    </cfRule>
    <cfRule type="expression" rank="0" priority="3" equalAverage="0" aboveAverage="0" dxfId="0" text="" percent="0" bottom="0">
      <formula>EXACT($H5,"completed")</formula>
    </cfRule>
    <cfRule type="expression" rank="0" priority="4" equalAverage="0" aboveAverage="0" dxfId="1" text="" percent="0" bottom="0">
      <formula>EXACT($H5,"executing")</formula>
    </cfRule>
    <cfRule type="expression" rank="0" priority="5" equalAverage="0" aboveAverage="0" dxfId="1" text="" percent="0" bottom="0">
      <formula>EXACT($H5,"awaiting_approval")</formula>
    </cfRule>
    <cfRule type="expression" rank="0" priority="6" equalAverage="0" aboveAverage="0" dxfId="1" text="" percent="0" bottom="0">
      <formula>EXACT($H5,"amended")</formula>
    </cfRule>
    <cfRule type="expression" rank="0" priority="7" equalAverage="0" aboveAverage="0" dxfId="2" text="" percent="0" bottom="0">
      <formula>EXACT($H5,"rejected")</formula>
    </cfRule>
    <cfRule type="expression" rank="0" priority="8" equalAverage="0" aboveAverage="0" dxfId="3" text="" percent="0" bottom="0">
      <formula>EXACT($H5,"draft")</formula>
    </cfRule>
    <cfRule type="expression" rank="0" priority="9" equalAverage="0" aboveAverage="0" dxfId="3" text="" percent="0" bottom="0">
      <formula>EXACT($H5,"archived")</formula>
    </cfRule>
  </conditionalFormatting>
  <conditionalFormatting sqref="I5:I60">
    <cfRule type="expression" rank="0" priority="10" equalAverage="0" aboveAverage="0" dxfId="0" text="" percent="0" bottom="0">
      <formula>EXACT($I5,"approve")</formula>
    </cfRule>
    <cfRule type="expression" rank="0" priority="11" equalAverage="0" aboveAverage="0" dxfId="2" text="" percent="0" bottom="0">
      <formula>EXACT($I5,"reject")</formula>
    </cfRule>
    <cfRule type="expression" rank="0" priority="12" equalAverage="0" aboveAverage="0" dxfId="1" text="" percent="0" bottom="0">
      <formula>EXACT($I5,"amend")</formula>
    </cfRule>
  </conditionalFormatting>
  <dataValidations count="2">
    <dataValidation sqref="H5:H60" showDropDown="0" showInputMessage="0" showErrorMessage="0" allowBlank="1" type="list" errorStyle="stop" operator="between">
      <formula1>"draft,awaiting_approval,approved,amended,rejected,executing,completed,archived"</formula1>
      <formula2>0</formula2>
    </dataValidation>
    <dataValidation sqref="I5:I60" showDropDown="0" showInputMessage="0" showErrorMessage="0" allowBlank="1" type="list" errorStyle="stop" operator="between">
      <formula1>",approve,reject,amend"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47" min="1" max="1"/>
    <col width="16" customWidth="1" style="47" min="2" max="2"/>
    <col width="14" customWidth="1" style="47" min="3" max="3"/>
    <col width="40" customWidth="1" style="47" min="4" max="4"/>
    <col width="30" customWidth="1" style="47" min="5" max="5"/>
    <col width="14" customWidth="1" style="47" min="6" max="6"/>
    <col width="16" customWidth="1" style="47" min="7" max="7"/>
  </cols>
  <sheetData>
    <row r="1" ht="24" customHeight="1" s="48">
      <c r="A1" s="89" t="inlineStr">
        <is>
          <t>DECISIONS PENDING  —  the CEO inbox</t>
        </is>
      </c>
    </row>
    <row r="2" ht="15" customHeight="1" s="48">
      <c r="A2" s="90" t="inlineStr">
        <is>
          <t>The ONLY sheet the CEO must check daily. Auto-populated from Plans where status=awaiting_approval and from divisions flagging issues.</t>
        </is>
      </c>
    </row>
    <row r="3"/>
    <row r="4" ht="30" customHeight="1" s="48">
      <c r="A4" s="67" t="inlineStr">
        <is>
          <t>Decision ID</t>
        </is>
      </c>
      <c r="B4" s="67" t="inlineStr">
        <is>
          <t>Source</t>
        </is>
      </c>
      <c r="C4" s="67" t="inlineStr">
        <is>
          <t>Type</t>
        </is>
      </c>
      <c r="D4" s="67" t="inlineStr">
        <is>
          <t>The ask</t>
        </is>
      </c>
      <c r="E4" s="67" t="inlineStr">
        <is>
          <t>Options</t>
        </is>
      </c>
      <c r="F4" s="67" t="inlineStr">
        <is>
          <t>Deadline</t>
        </is>
      </c>
      <c r="G4" s="67" t="inlineStr">
        <is>
          <t>Status</t>
        </is>
      </c>
    </row>
    <row r="5" ht="39.75" customHeight="1" s="48">
      <c r="A5" s="91" t="inlineStr">
        <is>
          <t>D-001</t>
        </is>
      </c>
      <c r="B5" s="93" t="inlineStr">
        <is>
          <t>Plans P-001</t>
        </is>
      </c>
      <c r="C5" s="93" t="inlineStr">
        <is>
          <t>plan_approval</t>
        </is>
      </c>
      <c r="D5" s="93" t="inlineStr">
        <is>
          <t>Approve cached Polymarket fetcher plan?</t>
        </is>
      </c>
      <c r="E5" s="93" t="inlineStr">
        <is>
          <t>approve / reject / amend</t>
        </is>
      </c>
      <c r="F5" s="92" t="n">
        <v>46127</v>
      </c>
      <c r="G5" s="93" t="inlineStr">
        <is>
          <t>open</t>
        </is>
      </c>
    </row>
    <row r="6" ht="39.75" customHeight="1" s="48">
      <c r="A6" s="91" t="inlineStr">
        <is>
          <t>D-002</t>
        </is>
      </c>
      <c r="B6" s="93" t="inlineStr">
        <is>
          <t>Plans P-002</t>
        </is>
      </c>
      <c r="C6" s="93" t="inlineStr">
        <is>
          <t>plan_approval</t>
        </is>
      </c>
      <c r="D6" s="93" t="inlineStr">
        <is>
          <t>Approve Research division spin-up (Stage E)?</t>
        </is>
      </c>
      <c r="E6" s="93" t="inlineStr">
        <is>
          <t>approve / reject / defer</t>
        </is>
      </c>
      <c r="F6" s="92" t="n">
        <v>46130</v>
      </c>
      <c r="G6" s="93" t="inlineStr">
        <is>
          <t>open</t>
        </is>
      </c>
    </row>
    <row r="7" ht="39.75" customHeight="1" s="48">
      <c r="A7" s="91" t="inlineStr">
        <is>
          <t>D-003</t>
        </is>
      </c>
      <c r="B7" s="93" t="inlineStr">
        <is>
          <t>Trading</t>
        </is>
      </c>
      <c r="C7" s="93" t="inlineStr">
        <is>
          <t>alert</t>
        </is>
      </c>
      <c r="D7" s="93" t="inlineStr">
        <is>
          <t>Forex bot drawdown approaching 3% threshold — pause, reduce size, or hold?</t>
        </is>
      </c>
      <c r="E7" s="93" t="inlineStr">
        <is>
          <t>pause / reduce / hold</t>
        </is>
      </c>
      <c r="F7" s="92" t="n">
        <v>46126</v>
      </c>
      <c r="G7" s="93" t="inlineStr">
        <is>
          <t>open</t>
        </is>
      </c>
    </row>
    <row r="8" ht="24" customHeight="1" s="48">
      <c r="A8" s="93" t="n"/>
      <c r="B8" s="93" t="n"/>
      <c r="C8" s="93" t="n"/>
      <c r="D8" s="93" t="n"/>
      <c r="E8" s="93" t="n"/>
      <c r="F8" s="93" t="n"/>
      <c r="G8" s="93" t="n"/>
    </row>
    <row r="9" ht="24" customHeight="1" s="48">
      <c r="A9" s="93" t="n"/>
      <c r="B9" s="93" t="n"/>
      <c r="C9" s="93" t="n"/>
      <c r="D9" s="93" t="n"/>
      <c r="E9" s="93" t="n"/>
      <c r="F9" s="93" t="n"/>
      <c r="G9" s="93" t="n"/>
    </row>
    <row r="10" ht="24" customHeight="1" s="48">
      <c r="A10" s="93" t="n"/>
      <c r="B10" s="93" t="n"/>
      <c r="C10" s="93" t="n"/>
      <c r="D10" s="93" t="n"/>
      <c r="E10" s="93" t="n"/>
      <c r="F10" s="93" t="n"/>
      <c r="G10" s="93" t="n"/>
    </row>
    <row r="11" ht="24" customHeight="1" s="48">
      <c r="A11" s="93" t="n"/>
      <c r="B11" s="93" t="n"/>
      <c r="C11" s="93" t="n"/>
      <c r="D11" s="93" t="n"/>
      <c r="E11" s="93" t="n"/>
      <c r="F11" s="93" t="n"/>
      <c r="G11" s="93" t="n"/>
    </row>
    <row r="12" ht="24" customHeight="1" s="48">
      <c r="A12" s="93" t="n"/>
      <c r="B12" s="93" t="n"/>
      <c r="C12" s="93" t="n"/>
      <c r="D12" s="93" t="n"/>
      <c r="E12" s="93" t="n"/>
      <c r="F12" s="93" t="n"/>
      <c r="G12" s="93" t="n"/>
    </row>
    <row r="13" ht="24" customHeight="1" s="48">
      <c r="A13" s="93" t="n"/>
      <c r="B13" s="93" t="n"/>
      <c r="C13" s="93" t="n"/>
      <c r="D13" s="93" t="n"/>
      <c r="E13" s="93" t="n"/>
      <c r="F13" s="93" t="n"/>
      <c r="G13" s="93" t="n"/>
    </row>
    <row r="14" ht="24" customHeight="1" s="48">
      <c r="A14" s="93" t="n"/>
      <c r="B14" s="93" t="n"/>
      <c r="C14" s="93" t="n"/>
      <c r="D14" s="93" t="n"/>
      <c r="E14" s="93" t="n"/>
      <c r="F14" s="93" t="n"/>
      <c r="G14" s="93" t="n"/>
    </row>
    <row r="15" ht="24" customHeight="1" s="48">
      <c r="A15" s="93" t="n"/>
      <c r="B15" s="93" t="n"/>
      <c r="C15" s="93" t="n"/>
      <c r="D15" s="93" t="n"/>
      <c r="E15" s="93" t="n"/>
      <c r="F15" s="93" t="n"/>
      <c r="G15" s="93" t="n"/>
    </row>
    <row r="16" ht="24" customHeight="1" s="48">
      <c r="A16" s="93" t="n"/>
      <c r="B16" s="93" t="n"/>
      <c r="C16" s="93" t="n"/>
      <c r="D16" s="93" t="n"/>
      <c r="E16" s="93" t="n"/>
      <c r="F16" s="93" t="n"/>
      <c r="G16" s="93" t="n"/>
    </row>
    <row r="17" ht="24" customHeight="1" s="48">
      <c r="A17" s="93" t="n"/>
      <c r="B17" s="93" t="n"/>
      <c r="C17" s="93" t="n"/>
      <c r="D17" s="93" t="n"/>
      <c r="E17" s="93" t="n"/>
      <c r="F17" s="93" t="n"/>
      <c r="G17" s="93" t="n"/>
    </row>
    <row r="18" ht="24" customHeight="1" s="48">
      <c r="A18" s="93" t="n"/>
      <c r="B18" s="93" t="n"/>
      <c r="C18" s="93" t="n"/>
      <c r="D18" s="93" t="n"/>
      <c r="E18" s="93" t="n"/>
      <c r="F18" s="93" t="n"/>
      <c r="G18" s="93" t="n"/>
    </row>
    <row r="19" ht="24" customHeight="1" s="48">
      <c r="A19" s="93" t="n"/>
      <c r="B19" s="93" t="n"/>
      <c r="C19" s="93" t="n"/>
      <c r="D19" s="93" t="n"/>
      <c r="E19" s="93" t="n"/>
      <c r="F19" s="93" t="n"/>
      <c r="G19" s="93" t="n"/>
    </row>
    <row r="20" ht="24" customHeight="1" s="48">
      <c r="A20" s="93" t="n"/>
      <c r="B20" s="93" t="n"/>
      <c r="C20" s="93" t="n"/>
      <c r="D20" s="93" t="n"/>
      <c r="E20" s="93" t="n"/>
      <c r="F20" s="93" t="n"/>
      <c r="G20" s="93" t="n"/>
    </row>
    <row r="21" ht="24" customHeight="1" s="48">
      <c r="A21" s="93" t="n"/>
      <c r="B21" s="93" t="n"/>
      <c r="C21" s="93" t="n"/>
      <c r="D21" s="93" t="n"/>
      <c r="E21" s="93" t="n"/>
      <c r="F21" s="93" t="n"/>
      <c r="G21" s="93" t="n"/>
    </row>
    <row r="22" ht="24" customHeight="1" s="48">
      <c r="A22" s="93" t="n"/>
      <c r="B22" s="93" t="n"/>
      <c r="C22" s="93" t="n"/>
      <c r="D22" s="93" t="n"/>
      <c r="E22" s="93" t="n"/>
      <c r="F22" s="93" t="n"/>
      <c r="G22" s="93" t="n"/>
    </row>
    <row r="23" ht="24" customHeight="1" s="48">
      <c r="A23" s="93" t="n"/>
      <c r="B23" s="93" t="n"/>
      <c r="C23" s="93" t="n"/>
      <c r="D23" s="93" t="n"/>
      <c r="E23" s="93" t="n"/>
      <c r="F23" s="93" t="n"/>
      <c r="G23" s="93" t="n"/>
    </row>
    <row r="24" ht="24" customHeight="1" s="48">
      <c r="A24" s="93" t="n"/>
      <c r="B24" s="93" t="n"/>
      <c r="C24" s="93" t="n"/>
      <c r="D24" s="93" t="n"/>
      <c r="E24" s="93" t="n"/>
      <c r="F24" s="93" t="n"/>
      <c r="G24" s="93" t="n"/>
    </row>
    <row r="25" ht="24" customHeight="1" s="48">
      <c r="A25" s="93" t="n"/>
      <c r="B25" s="93" t="n"/>
      <c r="C25" s="93" t="n"/>
      <c r="D25" s="93" t="n"/>
      <c r="E25" s="93" t="n"/>
      <c r="F25" s="93" t="n"/>
      <c r="G25" s="93" t="n"/>
    </row>
    <row r="26" ht="24" customHeight="1" s="48">
      <c r="A26" s="93" t="n"/>
      <c r="B26" s="93" t="n"/>
      <c r="C26" s="93" t="n"/>
      <c r="D26" s="93" t="n"/>
      <c r="E26" s="93" t="n"/>
      <c r="F26" s="93" t="n"/>
      <c r="G26" s="93" t="n"/>
    </row>
    <row r="27" ht="24" customHeight="1" s="48">
      <c r="A27" s="93" t="n"/>
      <c r="B27" s="93" t="n"/>
      <c r="C27" s="93" t="n"/>
      <c r="D27" s="93" t="n"/>
      <c r="E27" s="93" t="n"/>
      <c r="F27" s="93" t="n"/>
      <c r="G27" s="93" t="n"/>
    </row>
    <row r="28" ht="24" customHeight="1" s="48">
      <c r="A28" s="93" t="n"/>
      <c r="B28" s="93" t="n"/>
      <c r="C28" s="93" t="n"/>
      <c r="D28" s="93" t="n"/>
      <c r="E28" s="93" t="n"/>
      <c r="F28" s="93" t="n"/>
      <c r="G28" s="93" t="n"/>
    </row>
    <row r="29" ht="24" customHeight="1" s="48">
      <c r="A29" s="93" t="n"/>
      <c r="B29" s="93" t="n"/>
      <c r="C29" s="93" t="n"/>
      <c r="D29" s="93" t="n"/>
      <c r="E29" s="93" t="n"/>
      <c r="F29" s="93" t="n"/>
      <c r="G29" s="93" t="n"/>
    </row>
    <row r="30" ht="24" customHeight="1" s="48">
      <c r="A30" s="93" t="n"/>
      <c r="B30" s="93" t="n"/>
      <c r="C30" s="93" t="n"/>
      <c r="D30" s="93" t="n"/>
      <c r="E30" s="93" t="n"/>
      <c r="F30" s="93" t="n"/>
      <c r="G30" s="93" t="n"/>
    </row>
    <row r="31" ht="24" customHeight="1" s="48">
      <c r="A31" s="93" t="n"/>
      <c r="B31" s="93" t="n"/>
      <c r="C31" s="93" t="n"/>
      <c r="D31" s="93" t="n"/>
      <c r="E31" s="93" t="n"/>
      <c r="F31" s="93" t="n"/>
      <c r="G31" s="93" t="n"/>
    </row>
    <row r="32" ht="24" customHeight="1" s="48">
      <c r="A32" s="93" t="n"/>
      <c r="B32" s="93" t="n"/>
      <c r="C32" s="93" t="n"/>
      <c r="D32" s="93" t="n"/>
      <c r="E32" s="93" t="n"/>
      <c r="F32" s="93" t="n"/>
      <c r="G32" s="93" t="n"/>
    </row>
    <row r="33" ht="24" customHeight="1" s="48">
      <c r="A33" s="93" t="n"/>
      <c r="B33" s="93" t="n"/>
      <c r="C33" s="93" t="n"/>
      <c r="D33" s="93" t="n"/>
      <c r="E33" s="93" t="n"/>
      <c r="F33" s="93" t="n"/>
      <c r="G33" s="93" t="n"/>
    </row>
    <row r="34" ht="24" customHeight="1" s="48">
      <c r="A34" s="93" t="n"/>
      <c r="B34" s="93" t="n"/>
      <c r="C34" s="93" t="n"/>
      <c r="D34" s="93" t="n"/>
      <c r="E34" s="93" t="n"/>
      <c r="F34" s="93" t="n"/>
      <c r="G34" s="93" t="n"/>
    </row>
    <row r="35" ht="24" customHeight="1" s="48">
      <c r="A35" s="93" t="n"/>
      <c r="B35" s="93" t="n"/>
      <c r="C35" s="93" t="n"/>
      <c r="D35" s="93" t="n"/>
      <c r="E35" s="93" t="n"/>
      <c r="F35" s="93" t="n"/>
      <c r="G35" s="93" t="n"/>
    </row>
    <row r="36" ht="24" customHeight="1" s="48">
      <c r="A36" s="93" t="n"/>
      <c r="B36" s="93" t="n"/>
      <c r="C36" s="93" t="n"/>
      <c r="D36" s="93" t="n"/>
      <c r="E36" s="93" t="n"/>
      <c r="F36" s="93" t="n"/>
      <c r="G36" s="93" t="n"/>
    </row>
    <row r="37" ht="24" customHeight="1" s="48">
      <c r="A37" s="93" t="n"/>
      <c r="B37" s="93" t="n"/>
      <c r="C37" s="93" t="n"/>
      <c r="D37" s="93" t="n"/>
      <c r="E37" s="93" t="n"/>
      <c r="F37" s="93" t="n"/>
      <c r="G37" s="93" t="n"/>
    </row>
    <row r="38" ht="24" customHeight="1" s="48">
      <c r="A38" s="93" t="n"/>
      <c r="B38" s="93" t="n"/>
      <c r="C38" s="93" t="n"/>
      <c r="D38" s="93" t="n"/>
      <c r="E38" s="93" t="n"/>
      <c r="F38" s="93" t="n"/>
      <c r="G38" s="93" t="n"/>
    </row>
    <row r="39" ht="24" customHeight="1" s="48">
      <c r="A39" s="93" t="n"/>
      <c r="B39" s="93" t="n"/>
      <c r="C39" s="93" t="n"/>
      <c r="D39" s="93" t="n"/>
      <c r="E39" s="93" t="n"/>
      <c r="F39" s="93" t="n"/>
      <c r="G39" s="93" t="n"/>
    </row>
    <row r="40" ht="24" customHeight="1" s="48">
      <c r="A40" s="93" t="n"/>
      <c r="B40" s="93" t="n"/>
      <c r="C40" s="93" t="n"/>
      <c r="D40" s="93" t="n"/>
      <c r="E40" s="93" t="n"/>
      <c r="F40" s="93" t="n"/>
      <c r="G40" s="93" t="n"/>
    </row>
  </sheetData>
  <mergeCells count="2">
    <mergeCell ref="A2:G2"/>
    <mergeCell ref="A1:G1"/>
  </mergeCells>
  <conditionalFormatting sqref="G5:G40">
    <cfRule type="expression" rank="0" priority="2" equalAverage="0" aboveAverage="0" dxfId="1" text="" percent="0" bottom="0">
      <formula>EXACT($G5,"open")</formula>
    </cfRule>
    <cfRule type="expression" rank="0" priority="3" equalAverage="0" aboveAverage="0" dxfId="0" text="" percent="0" bottom="0">
      <formula>EXACT($G5,"decided")</formula>
    </cfRule>
    <cfRule type="expression" rank="0" priority="4" equalAverage="0" aboveAverage="0" dxfId="3" text="" percent="0" bottom="0">
      <formula>EXACT($G5,"dismissed")</formula>
    </cfRule>
    <cfRule type="expression" rank="0" priority="5" equalAverage="0" aboveAverage="0" dxfId="2" text="" percent="0" bottom="0">
      <formula>EXACT($G5,"expired")</formula>
    </cfRule>
  </conditionalFormatting>
  <conditionalFormatting sqref="F5:F40">
    <cfRule type="expression" rank="0" priority="6" equalAverage="0" aboveAverage="0" dxfId="2" text="" percent="0" bottom="0">
      <formula>AND(ISNUMBER(F5),F5&lt;TODAY(),G5="open")</formula>
    </cfRule>
  </conditionalFormatting>
  <dataValidations count="1">
    <dataValidation sqref="G5:G40" showDropDown="0" showInputMessage="0" showErrorMessage="0" allowBlank="1" type="list" errorStyle="stop" operator="between">
      <formula1>"open,decided,dismissed,expired"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8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47" min="1" max="1"/>
    <col width="14" customWidth="1" style="47" min="2" max="2"/>
    <col width="12" customWidth="1" style="47" min="3" max="3"/>
    <col width="36" customWidth="1" style="47" min="4" max="4"/>
    <col width="24" customWidth="1" style="47" min="5" max="5"/>
    <col width="14" customWidth="1" style="47" min="6" max="6"/>
    <col width="26" customWidth="1" style="47" min="7" max="7"/>
  </cols>
  <sheetData>
    <row r="1" ht="24" customHeight="1" s="48">
      <c r="A1" s="89" t="inlineStr">
        <is>
          <t>EXECUTION LOG  —  what divisions actually did</t>
        </is>
      </c>
    </row>
    <row r="2" ht="15" customHeight="1" s="48">
      <c r="A2" s="90" t="inlineStr">
        <is>
          <t>Append-only. One row per discrete action. Auto-populated by divisions; CEO does not write here.</t>
        </is>
      </c>
    </row>
    <row r="3"/>
    <row r="4" ht="30" customHeight="1" s="48">
      <c r="A4" s="67" t="inlineStr">
        <is>
          <t>Timestamp</t>
        </is>
      </c>
      <c r="B4" s="67" t="inlineStr">
        <is>
          <t>Division</t>
        </is>
      </c>
      <c r="C4" s="67" t="inlineStr">
        <is>
          <t>Plan ID</t>
        </is>
      </c>
      <c r="D4" s="67" t="inlineStr">
        <is>
          <t>Action</t>
        </is>
      </c>
      <c r="E4" s="67" t="inlineStr">
        <is>
          <t>Outcome</t>
        </is>
      </c>
      <c r="F4" s="67" t="inlineStr">
        <is>
          <t>Duration (min)</t>
        </is>
      </c>
      <c r="G4" s="67" t="inlineStr">
        <is>
          <t>Notes</t>
        </is>
      </c>
    </row>
    <row r="5" ht="25.5" customHeight="1" s="48">
      <c r="A5" s="94" t="n">
        <v>46125</v>
      </c>
      <c r="B5" s="93" t="inlineStr">
        <is>
          <t>Trading</t>
        </is>
      </c>
      <c r="C5" s="93" t="inlineStr">
        <is>
          <t>-</t>
        </is>
      </c>
      <c r="D5" s="93" t="inlineStr">
        <is>
          <t>read_bot_logs(forex)</t>
        </is>
      </c>
      <c r="E5" s="93" t="inlineStr">
        <is>
          <t>21 error lines surfaced</t>
        </is>
      </c>
      <c r="F5" s="93" t="n">
        <v>2</v>
      </c>
      <c r="G5" s="93" t="inlineStr">
        <is>
          <t>Triggered alert D-003</t>
        </is>
      </c>
    </row>
    <row r="6" ht="25.5" customHeight="1" s="48">
      <c r="A6" s="94" t="n">
        <v>46125</v>
      </c>
      <c r="B6" s="93" t="inlineStr">
        <is>
          <t>Websites</t>
        </is>
      </c>
      <c r="C6" s="93" t="inlineStr">
        <is>
          <t>-</t>
        </is>
      </c>
      <c r="D6" s="93" t="inlineStr">
        <is>
          <t>check_website(freetraderhub)</t>
        </is>
      </c>
      <c r="E6" s="93" t="inlineStr">
        <is>
          <t>200 OK, 412ms</t>
        </is>
      </c>
      <c r="F6" s="93" t="n">
        <v>1</v>
      </c>
      <c r="G6" s="93" t="n"/>
    </row>
    <row r="7" ht="25.5" customHeight="1" s="48">
      <c r="A7" s="94" t="n">
        <v>46125</v>
      </c>
      <c r="B7" s="93" t="inlineStr">
        <is>
          <t>Holding</t>
        </is>
      </c>
      <c r="C7" s="93" t="inlineStr">
        <is>
          <t>-</t>
        </is>
      </c>
      <c r="D7" s="93" t="inlineStr">
        <is>
          <t>compile daily_brief</t>
        </is>
      </c>
      <c r="E7" s="93" t="inlineStr">
        <is>
          <t>payload generated</t>
        </is>
      </c>
      <c r="F7" s="93" t="n">
        <v>4</v>
      </c>
      <c r="G7" s="93" t="n"/>
    </row>
    <row r="8" ht="21.75" customHeight="1" s="48">
      <c r="A8" s="93" t="n"/>
      <c r="B8" s="93" t="n"/>
      <c r="C8" s="93" t="n"/>
      <c r="D8" s="93" t="n"/>
      <c r="E8" s="93" t="n"/>
      <c r="F8" s="93" t="n"/>
      <c r="G8" s="93" t="n"/>
    </row>
    <row r="9" ht="21.75" customHeight="1" s="48">
      <c r="A9" s="93" t="n"/>
      <c r="B9" s="93" t="n"/>
      <c r="C9" s="93" t="n"/>
      <c r="D9" s="93" t="n"/>
      <c r="E9" s="93" t="n"/>
      <c r="F9" s="93" t="n"/>
      <c r="G9" s="93" t="n"/>
    </row>
    <row r="10" ht="21.75" customHeight="1" s="48">
      <c r="A10" s="93" t="n"/>
      <c r="B10" s="93" t="n"/>
      <c r="C10" s="93" t="n"/>
      <c r="D10" s="93" t="n"/>
      <c r="E10" s="93" t="n"/>
      <c r="F10" s="93" t="n"/>
      <c r="G10" s="93" t="n"/>
    </row>
    <row r="11" ht="21.75" customHeight="1" s="48">
      <c r="A11" s="93" t="n"/>
      <c r="B11" s="93" t="n"/>
      <c r="C11" s="93" t="n"/>
      <c r="D11" s="93" t="n"/>
      <c r="E11" s="93" t="n"/>
      <c r="F11" s="93" t="n"/>
      <c r="G11" s="93" t="n"/>
    </row>
    <row r="12" ht="21.75" customHeight="1" s="48">
      <c r="A12" s="93" t="n"/>
      <c r="B12" s="93" t="n"/>
      <c r="C12" s="93" t="n"/>
      <c r="D12" s="93" t="n"/>
      <c r="E12" s="93" t="n"/>
      <c r="F12" s="93" t="n"/>
      <c r="G12" s="93" t="n"/>
    </row>
    <row r="13" ht="21.75" customHeight="1" s="48">
      <c r="A13" s="93" t="n"/>
      <c r="B13" s="93" t="n"/>
      <c r="C13" s="93" t="n"/>
      <c r="D13" s="93" t="n"/>
      <c r="E13" s="93" t="n"/>
      <c r="F13" s="93" t="n"/>
      <c r="G13" s="93" t="n"/>
    </row>
    <row r="14" ht="21.75" customHeight="1" s="48">
      <c r="A14" s="93" t="n"/>
      <c r="B14" s="93" t="n"/>
      <c r="C14" s="93" t="n"/>
      <c r="D14" s="93" t="n"/>
      <c r="E14" s="93" t="n"/>
      <c r="F14" s="93" t="n"/>
      <c r="G14" s="93" t="n"/>
    </row>
    <row r="15" ht="21.75" customHeight="1" s="48">
      <c r="A15" s="93" t="n"/>
      <c r="B15" s="93" t="n"/>
      <c r="C15" s="93" t="n"/>
      <c r="D15" s="93" t="n"/>
      <c r="E15" s="93" t="n"/>
      <c r="F15" s="93" t="n"/>
      <c r="G15" s="93" t="n"/>
    </row>
    <row r="16" ht="21.75" customHeight="1" s="48">
      <c r="A16" s="93" t="n"/>
      <c r="B16" s="93" t="n"/>
      <c r="C16" s="93" t="n"/>
      <c r="D16" s="93" t="n"/>
      <c r="E16" s="93" t="n"/>
      <c r="F16" s="93" t="n"/>
      <c r="G16" s="93" t="n"/>
    </row>
    <row r="17" ht="21.75" customHeight="1" s="48">
      <c r="A17" s="93" t="n"/>
      <c r="B17" s="93" t="n"/>
      <c r="C17" s="93" t="n"/>
      <c r="D17" s="93" t="n"/>
      <c r="E17" s="93" t="n"/>
      <c r="F17" s="93" t="n"/>
      <c r="G17" s="93" t="n"/>
    </row>
    <row r="18" ht="21.75" customHeight="1" s="48">
      <c r="A18" s="93" t="n"/>
      <c r="B18" s="93" t="n"/>
      <c r="C18" s="93" t="n"/>
      <c r="D18" s="93" t="n"/>
      <c r="E18" s="93" t="n"/>
      <c r="F18" s="93" t="n"/>
      <c r="G18" s="93" t="n"/>
    </row>
    <row r="19" ht="21.75" customHeight="1" s="48">
      <c r="A19" s="93" t="n"/>
      <c r="B19" s="93" t="n"/>
      <c r="C19" s="93" t="n"/>
      <c r="D19" s="93" t="n"/>
      <c r="E19" s="93" t="n"/>
      <c r="F19" s="93" t="n"/>
      <c r="G19" s="93" t="n"/>
    </row>
    <row r="20" ht="21.75" customHeight="1" s="48">
      <c r="A20" s="93" t="n"/>
      <c r="B20" s="93" t="n"/>
      <c r="C20" s="93" t="n"/>
      <c r="D20" s="93" t="n"/>
      <c r="E20" s="93" t="n"/>
      <c r="F20" s="93" t="n"/>
      <c r="G20" s="93" t="n"/>
    </row>
    <row r="21" ht="21.75" customHeight="1" s="48">
      <c r="A21" s="93" t="n"/>
      <c r="B21" s="93" t="n"/>
      <c r="C21" s="93" t="n"/>
      <c r="D21" s="93" t="n"/>
      <c r="E21" s="93" t="n"/>
      <c r="F21" s="93" t="n"/>
      <c r="G21" s="93" t="n"/>
    </row>
    <row r="22" ht="21.75" customHeight="1" s="48">
      <c r="A22" s="93" t="n"/>
      <c r="B22" s="93" t="n"/>
      <c r="C22" s="93" t="n"/>
      <c r="D22" s="93" t="n"/>
      <c r="E22" s="93" t="n"/>
      <c r="F22" s="93" t="n"/>
      <c r="G22" s="93" t="n"/>
    </row>
    <row r="23" ht="21.75" customHeight="1" s="48">
      <c r="A23" s="93" t="n"/>
      <c r="B23" s="93" t="n"/>
      <c r="C23" s="93" t="n"/>
      <c r="D23" s="93" t="n"/>
      <c r="E23" s="93" t="n"/>
      <c r="F23" s="93" t="n"/>
      <c r="G23" s="93" t="n"/>
    </row>
    <row r="24" ht="21.75" customHeight="1" s="48">
      <c r="A24" s="93" t="n"/>
      <c r="B24" s="93" t="n"/>
      <c r="C24" s="93" t="n"/>
      <c r="D24" s="93" t="n"/>
      <c r="E24" s="93" t="n"/>
      <c r="F24" s="93" t="n"/>
      <c r="G24" s="93" t="n"/>
    </row>
    <row r="25" ht="21.75" customHeight="1" s="48">
      <c r="A25" s="93" t="n"/>
      <c r="B25" s="93" t="n"/>
      <c r="C25" s="93" t="n"/>
      <c r="D25" s="93" t="n"/>
      <c r="E25" s="93" t="n"/>
      <c r="F25" s="93" t="n"/>
      <c r="G25" s="93" t="n"/>
    </row>
    <row r="26" ht="21.75" customHeight="1" s="48">
      <c r="A26" s="93" t="n"/>
      <c r="B26" s="93" t="n"/>
      <c r="C26" s="93" t="n"/>
      <c r="D26" s="93" t="n"/>
      <c r="E26" s="93" t="n"/>
      <c r="F26" s="93" t="n"/>
      <c r="G26" s="93" t="n"/>
    </row>
    <row r="27" ht="21.75" customHeight="1" s="48">
      <c r="A27" s="93" t="n"/>
      <c r="B27" s="93" t="n"/>
      <c r="C27" s="93" t="n"/>
      <c r="D27" s="93" t="n"/>
      <c r="E27" s="93" t="n"/>
      <c r="F27" s="93" t="n"/>
      <c r="G27" s="93" t="n"/>
    </row>
    <row r="28" ht="21.75" customHeight="1" s="48">
      <c r="A28" s="93" t="n"/>
      <c r="B28" s="93" t="n"/>
      <c r="C28" s="93" t="n"/>
      <c r="D28" s="93" t="n"/>
      <c r="E28" s="93" t="n"/>
      <c r="F28" s="93" t="n"/>
      <c r="G28" s="93" t="n"/>
    </row>
    <row r="29" ht="21.75" customHeight="1" s="48">
      <c r="A29" s="93" t="n"/>
      <c r="B29" s="93" t="n"/>
      <c r="C29" s="93" t="n"/>
      <c r="D29" s="93" t="n"/>
      <c r="E29" s="93" t="n"/>
      <c r="F29" s="93" t="n"/>
      <c r="G29" s="93" t="n"/>
    </row>
    <row r="30" ht="21.75" customHeight="1" s="48">
      <c r="A30" s="93" t="n"/>
      <c r="B30" s="93" t="n"/>
      <c r="C30" s="93" t="n"/>
      <c r="D30" s="93" t="n"/>
      <c r="E30" s="93" t="n"/>
      <c r="F30" s="93" t="n"/>
      <c r="G30" s="93" t="n"/>
    </row>
    <row r="31" ht="21.75" customHeight="1" s="48">
      <c r="A31" s="93" t="n"/>
      <c r="B31" s="93" t="n"/>
      <c r="C31" s="93" t="n"/>
      <c r="D31" s="93" t="n"/>
      <c r="E31" s="93" t="n"/>
      <c r="F31" s="93" t="n"/>
      <c r="G31" s="93" t="n"/>
    </row>
    <row r="32" ht="21.75" customHeight="1" s="48">
      <c r="A32" s="93" t="n"/>
      <c r="B32" s="93" t="n"/>
      <c r="C32" s="93" t="n"/>
      <c r="D32" s="93" t="n"/>
      <c r="E32" s="93" t="n"/>
      <c r="F32" s="93" t="n"/>
      <c r="G32" s="93" t="n"/>
    </row>
    <row r="33" ht="21.75" customHeight="1" s="48">
      <c r="A33" s="93" t="n"/>
      <c r="B33" s="93" t="n"/>
      <c r="C33" s="93" t="n"/>
      <c r="D33" s="93" t="n"/>
      <c r="E33" s="93" t="n"/>
      <c r="F33" s="93" t="n"/>
      <c r="G33" s="93" t="n"/>
    </row>
    <row r="34" ht="21.75" customHeight="1" s="48">
      <c r="A34" s="93" t="n"/>
      <c r="B34" s="93" t="n"/>
      <c r="C34" s="93" t="n"/>
      <c r="D34" s="93" t="n"/>
      <c r="E34" s="93" t="n"/>
      <c r="F34" s="93" t="n"/>
      <c r="G34" s="93" t="n"/>
    </row>
    <row r="35" ht="21.75" customHeight="1" s="48">
      <c r="A35" s="93" t="n"/>
      <c r="B35" s="93" t="n"/>
      <c r="C35" s="93" t="n"/>
      <c r="D35" s="93" t="n"/>
      <c r="E35" s="93" t="n"/>
      <c r="F35" s="93" t="n"/>
      <c r="G35" s="93" t="n"/>
    </row>
    <row r="36" ht="21.75" customHeight="1" s="48">
      <c r="A36" s="93" t="n"/>
      <c r="B36" s="93" t="n"/>
      <c r="C36" s="93" t="n"/>
      <c r="D36" s="93" t="n"/>
      <c r="E36" s="93" t="n"/>
      <c r="F36" s="93" t="n"/>
      <c r="G36" s="93" t="n"/>
    </row>
    <row r="37" ht="21.75" customHeight="1" s="48">
      <c r="A37" s="93" t="n"/>
      <c r="B37" s="93" t="n"/>
      <c r="C37" s="93" t="n"/>
      <c r="D37" s="93" t="n"/>
      <c r="E37" s="93" t="n"/>
      <c r="F37" s="93" t="n"/>
      <c r="G37" s="93" t="n"/>
    </row>
    <row r="38" ht="21.75" customHeight="1" s="48">
      <c r="A38" s="93" t="n"/>
      <c r="B38" s="93" t="n"/>
      <c r="C38" s="93" t="n"/>
      <c r="D38" s="93" t="n"/>
      <c r="E38" s="93" t="n"/>
      <c r="F38" s="93" t="n"/>
      <c r="G38" s="93" t="n"/>
    </row>
    <row r="39" ht="21.75" customHeight="1" s="48">
      <c r="A39" s="93" t="n"/>
      <c r="B39" s="93" t="n"/>
      <c r="C39" s="93" t="n"/>
      <c r="D39" s="93" t="n"/>
      <c r="E39" s="93" t="n"/>
      <c r="F39" s="93" t="n"/>
      <c r="G39" s="93" t="n"/>
    </row>
    <row r="40" ht="21.75" customHeight="1" s="48">
      <c r="A40" s="93" t="n"/>
      <c r="B40" s="93" t="n"/>
      <c r="C40" s="93" t="n"/>
      <c r="D40" s="93" t="n"/>
      <c r="E40" s="93" t="n"/>
      <c r="F40" s="93" t="n"/>
      <c r="G40" s="93" t="n"/>
    </row>
    <row r="41" ht="21.75" customHeight="1" s="48">
      <c r="A41" s="93" t="n"/>
      <c r="B41" s="93" t="n"/>
      <c r="C41" s="93" t="n"/>
      <c r="D41" s="93" t="n"/>
      <c r="E41" s="93" t="n"/>
      <c r="F41" s="93" t="n"/>
      <c r="G41" s="93" t="n"/>
    </row>
    <row r="42" ht="21.75" customHeight="1" s="48">
      <c r="A42" s="93" t="n"/>
      <c r="B42" s="93" t="n"/>
      <c r="C42" s="93" t="n"/>
      <c r="D42" s="93" t="n"/>
      <c r="E42" s="93" t="n"/>
      <c r="F42" s="93" t="n"/>
      <c r="G42" s="93" t="n"/>
    </row>
    <row r="43" ht="21.75" customHeight="1" s="48">
      <c r="A43" s="93" t="n"/>
      <c r="B43" s="93" t="n"/>
      <c r="C43" s="93" t="n"/>
      <c r="D43" s="93" t="n"/>
      <c r="E43" s="93" t="n"/>
      <c r="F43" s="93" t="n"/>
      <c r="G43" s="93" t="n"/>
    </row>
    <row r="44" ht="21.75" customHeight="1" s="48">
      <c r="A44" s="93" t="n"/>
      <c r="B44" s="93" t="n"/>
      <c r="C44" s="93" t="n"/>
      <c r="D44" s="93" t="n"/>
      <c r="E44" s="93" t="n"/>
      <c r="F44" s="93" t="n"/>
      <c r="G44" s="93" t="n"/>
    </row>
    <row r="45" ht="21.75" customHeight="1" s="48">
      <c r="A45" s="93" t="n"/>
      <c r="B45" s="93" t="n"/>
      <c r="C45" s="93" t="n"/>
      <c r="D45" s="93" t="n"/>
      <c r="E45" s="93" t="n"/>
      <c r="F45" s="93" t="n"/>
      <c r="G45" s="93" t="n"/>
    </row>
    <row r="46" ht="21.75" customHeight="1" s="48">
      <c r="A46" s="93" t="n"/>
      <c r="B46" s="93" t="n"/>
      <c r="C46" s="93" t="n"/>
      <c r="D46" s="93" t="n"/>
      <c r="E46" s="93" t="n"/>
      <c r="F46" s="93" t="n"/>
      <c r="G46" s="93" t="n"/>
    </row>
    <row r="47" ht="21.75" customHeight="1" s="48">
      <c r="A47" s="93" t="n"/>
      <c r="B47" s="93" t="n"/>
      <c r="C47" s="93" t="n"/>
      <c r="D47" s="93" t="n"/>
      <c r="E47" s="93" t="n"/>
      <c r="F47" s="93" t="n"/>
      <c r="G47" s="93" t="n"/>
    </row>
    <row r="48" ht="21.75" customHeight="1" s="48">
      <c r="A48" s="93" t="n"/>
      <c r="B48" s="93" t="n"/>
      <c r="C48" s="93" t="n"/>
      <c r="D48" s="93" t="n"/>
      <c r="E48" s="93" t="n"/>
      <c r="F48" s="93" t="n"/>
      <c r="G48" s="93" t="n"/>
    </row>
    <row r="49" ht="21.75" customHeight="1" s="48">
      <c r="A49" s="93" t="n"/>
      <c r="B49" s="93" t="n"/>
      <c r="C49" s="93" t="n"/>
      <c r="D49" s="93" t="n"/>
      <c r="E49" s="93" t="n"/>
      <c r="F49" s="93" t="n"/>
      <c r="G49" s="93" t="n"/>
    </row>
    <row r="50" ht="21.75" customHeight="1" s="48">
      <c r="A50" s="93" t="n"/>
      <c r="B50" s="93" t="n"/>
      <c r="C50" s="93" t="n"/>
      <c r="D50" s="93" t="n"/>
      <c r="E50" s="93" t="n"/>
      <c r="F50" s="93" t="n"/>
      <c r="G50" s="93" t="n"/>
    </row>
    <row r="51" ht="21.75" customHeight="1" s="48">
      <c r="A51" s="93" t="n"/>
      <c r="B51" s="93" t="n"/>
      <c r="C51" s="93" t="n"/>
      <c r="D51" s="93" t="n"/>
      <c r="E51" s="93" t="n"/>
      <c r="F51" s="93" t="n"/>
      <c r="G51" s="93" t="n"/>
    </row>
    <row r="52" ht="21.75" customHeight="1" s="48">
      <c r="A52" s="93" t="n"/>
      <c r="B52" s="93" t="n"/>
      <c r="C52" s="93" t="n"/>
      <c r="D52" s="93" t="n"/>
      <c r="E52" s="93" t="n"/>
      <c r="F52" s="93" t="n"/>
      <c r="G52" s="93" t="n"/>
    </row>
    <row r="53" ht="21.75" customHeight="1" s="48">
      <c r="A53" s="93" t="n"/>
      <c r="B53" s="93" t="n"/>
      <c r="C53" s="93" t="n"/>
      <c r="D53" s="93" t="n"/>
      <c r="E53" s="93" t="n"/>
      <c r="F53" s="93" t="n"/>
      <c r="G53" s="93" t="n"/>
    </row>
    <row r="54" ht="21.75" customHeight="1" s="48">
      <c r="A54" s="93" t="n"/>
      <c r="B54" s="93" t="n"/>
      <c r="C54" s="93" t="n"/>
      <c r="D54" s="93" t="n"/>
      <c r="E54" s="93" t="n"/>
      <c r="F54" s="93" t="n"/>
      <c r="G54" s="93" t="n"/>
    </row>
    <row r="55" ht="21.75" customHeight="1" s="48">
      <c r="A55" s="93" t="n"/>
      <c r="B55" s="93" t="n"/>
      <c r="C55" s="93" t="n"/>
      <c r="D55" s="93" t="n"/>
      <c r="E55" s="93" t="n"/>
      <c r="F55" s="93" t="n"/>
      <c r="G55" s="93" t="n"/>
    </row>
    <row r="56" ht="21.75" customHeight="1" s="48">
      <c r="A56" s="93" t="n"/>
      <c r="B56" s="93" t="n"/>
      <c r="C56" s="93" t="n"/>
      <c r="D56" s="93" t="n"/>
      <c r="E56" s="93" t="n"/>
      <c r="F56" s="93" t="n"/>
      <c r="G56" s="93" t="n"/>
    </row>
    <row r="57" ht="21.75" customHeight="1" s="48">
      <c r="A57" s="93" t="n"/>
      <c r="B57" s="93" t="n"/>
      <c r="C57" s="93" t="n"/>
      <c r="D57" s="93" t="n"/>
      <c r="E57" s="93" t="n"/>
      <c r="F57" s="93" t="n"/>
      <c r="G57" s="93" t="n"/>
    </row>
    <row r="58" ht="21.75" customHeight="1" s="48">
      <c r="A58" s="93" t="n"/>
      <c r="B58" s="93" t="n"/>
      <c r="C58" s="93" t="n"/>
      <c r="D58" s="93" t="n"/>
      <c r="E58" s="93" t="n"/>
      <c r="F58" s="93" t="n"/>
      <c r="G58" s="93" t="n"/>
    </row>
    <row r="59" ht="21.75" customHeight="1" s="48">
      <c r="A59" s="93" t="n"/>
      <c r="B59" s="93" t="n"/>
      <c r="C59" s="93" t="n"/>
      <c r="D59" s="93" t="n"/>
      <c r="E59" s="93" t="n"/>
      <c r="F59" s="93" t="n"/>
      <c r="G59" s="93" t="n"/>
    </row>
    <row r="60" ht="21.75" customHeight="1" s="48">
      <c r="A60" s="93" t="n"/>
      <c r="B60" s="93" t="n"/>
      <c r="C60" s="93" t="n"/>
      <c r="D60" s="93" t="n"/>
      <c r="E60" s="93" t="n"/>
      <c r="F60" s="93" t="n"/>
      <c r="G60" s="93" t="n"/>
    </row>
    <row r="61" ht="21.75" customHeight="1" s="48">
      <c r="A61" s="93" t="n"/>
      <c r="B61" s="93" t="n"/>
      <c r="C61" s="93" t="n"/>
      <c r="D61" s="93" t="n"/>
      <c r="E61" s="93" t="n"/>
      <c r="F61" s="93" t="n"/>
      <c r="G61" s="93" t="n"/>
    </row>
    <row r="62" ht="21.75" customHeight="1" s="48">
      <c r="A62" s="93" t="n"/>
      <c r="B62" s="93" t="n"/>
      <c r="C62" s="93" t="n"/>
      <c r="D62" s="93" t="n"/>
      <c r="E62" s="93" t="n"/>
      <c r="F62" s="93" t="n"/>
      <c r="G62" s="93" t="n"/>
    </row>
    <row r="63" ht="21.75" customHeight="1" s="48">
      <c r="A63" s="93" t="n"/>
      <c r="B63" s="93" t="n"/>
      <c r="C63" s="93" t="n"/>
      <c r="D63" s="93" t="n"/>
      <c r="E63" s="93" t="n"/>
      <c r="F63" s="93" t="n"/>
      <c r="G63" s="93" t="n"/>
    </row>
    <row r="64" ht="21.75" customHeight="1" s="48">
      <c r="A64" s="93" t="n"/>
      <c r="B64" s="93" t="n"/>
      <c r="C64" s="93" t="n"/>
      <c r="D64" s="93" t="n"/>
      <c r="E64" s="93" t="n"/>
      <c r="F64" s="93" t="n"/>
      <c r="G64" s="93" t="n"/>
    </row>
    <row r="65" ht="21.75" customHeight="1" s="48">
      <c r="A65" s="93" t="n"/>
      <c r="B65" s="93" t="n"/>
      <c r="C65" s="93" t="n"/>
      <c r="D65" s="93" t="n"/>
      <c r="E65" s="93" t="n"/>
      <c r="F65" s="93" t="n"/>
      <c r="G65" s="93" t="n"/>
    </row>
    <row r="66" ht="21.75" customHeight="1" s="48">
      <c r="A66" s="93" t="n"/>
      <c r="B66" s="93" t="n"/>
      <c r="C66" s="93" t="n"/>
      <c r="D66" s="93" t="n"/>
      <c r="E66" s="93" t="n"/>
      <c r="F66" s="93" t="n"/>
      <c r="G66" s="93" t="n"/>
    </row>
    <row r="67" ht="21.75" customHeight="1" s="48">
      <c r="A67" s="93" t="n"/>
      <c r="B67" s="93" t="n"/>
      <c r="C67" s="93" t="n"/>
      <c r="D67" s="93" t="n"/>
      <c r="E67" s="93" t="n"/>
      <c r="F67" s="93" t="n"/>
      <c r="G67" s="93" t="n"/>
    </row>
    <row r="68" ht="21.75" customHeight="1" s="48">
      <c r="A68" s="93" t="n"/>
      <c r="B68" s="93" t="n"/>
      <c r="C68" s="93" t="n"/>
      <c r="D68" s="93" t="n"/>
      <c r="E68" s="93" t="n"/>
      <c r="F68" s="93" t="n"/>
      <c r="G68" s="93" t="n"/>
    </row>
    <row r="69" ht="21.75" customHeight="1" s="48">
      <c r="A69" s="93" t="n"/>
      <c r="B69" s="93" t="n"/>
      <c r="C69" s="93" t="n"/>
      <c r="D69" s="93" t="n"/>
      <c r="E69" s="93" t="n"/>
      <c r="F69" s="93" t="n"/>
      <c r="G69" s="93" t="n"/>
    </row>
    <row r="70" ht="21.75" customHeight="1" s="48">
      <c r="A70" s="93" t="n"/>
      <c r="B70" s="93" t="n"/>
      <c r="C70" s="93" t="n"/>
      <c r="D70" s="93" t="n"/>
      <c r="E70" s="93" t="n"/>
      <c r="F70" s="93" t="n"/>
      <c r="G70" s="93" t="n"/>
    </row>
    <row r="71" ht="21.75" customHeight="1" s="48">
      <c r="A71" s="93" t="n"/>
      <c r="B71" s="93" t="n"/>
      <c r="C71" s="93" t="n"/>
      <c r="D71" s="93" t="n"/>
      <c r="E71" s="93" t="n"/>
      <c r="F71" s="93" t="n"/>
      <c r="G71" s="93" t="n"/>
    </row>
    <row r="72" ht="21.75" customHeight="1" s="48">
      <c r="A72" s="93" t="n"/>
      <c r="B72" s="93" t="n"/>
      <c r="C72" s="93" t="n"/>
      <c r="D72" s="93" t="n"/>
      <c r="E72" s="93" t="n"/>
      <c r="F72" s="93" t="n"/>
      <c r="G72" s="93" t="n"/>
    </row>
    <row r="73" ht="21.75" customHeight="1" s="48">
      <c r="A73" s="93" t="n"/>
      <c r="B73" s="93" t="n"/>
      <c r="C73" s="93" t="n"/>
      <c r="D73" s="93" t="n"/>
      <c r="E73" s="93" t="n"/>
      <c r="F73" s="93" t="n"/>
      <c r="G73" s="93" t="n"/>
    </row>
    <row r="74" ht="21.75" customHeight="1" s="48">
      <c r="A74" s="93" t="n"/>
      <c r="B74" s="93" t="n"/>
      <c r="C74" s="93" t="n"/>
      <c r="D74" s="93" t="n"/>
      <c r="E74" s="93" t="n"/>
      <c r="F74" s="93" t="n"/>
      <c r="G74" s="93" t="n"/>
    </row>
    <row r="75" ht="21.75" customHeight="1" s="48">
      <c r="A75" s="93" t="n"/>
      <c r="B75" s="93" t="n"/>
      <c r="C75" s="93" t="n"/>
      <c r="D75" s="93" t="n"/>
      <c r="E75" s="93" t="n"/>
      <c r="F75" s="93" t="n"/>
      <c r="G75" s="93" t="n"/>
    </row>
    <row r="76" ht="21.75" customHeight="1" s="48">
      <c r="A76" s="93" t="n"/>
      <c r="B76" s="93" t="n"/>
      <c r="C76" s="93" t="n"/>
      <c r="D76" s="93" t="n"/>
      <c r="E76" s="93" t="n"/>
      <c r="F76" s="93" t="n"/>
      <c r="G76" s="93" t="n"/>
    </row>
    <row r="77" ht="21.75" customHeight="1" s="48">
      <c r="A77" s="93" t="n"/>
      <c r="B77" s="93" t="n"/>
      <c r="C77" s="93" t="n"/>
      <c r="D77" s="93" t="n"/>
      <c r="E77" s="93" t="n"/>
      <c r="F77" s="93" t="n"/>
      <c r="G77" s="93" t="n"/>
    </row>
    <row r="78" ht="21.75" customHeight="1" s="48">
      <c r="A78" s="93" t="n"/>
      <c r="B78" s="93" t="n"/>
      <c r="C78" s="93" t="n"/>
      <c r="D78" s="93" t="n"/>
      <c r="E78" s="93" t="n"/>
      <c r="F78" s="93" t="n"/>
      <c r="G78" s="93" t="n"/>
    </row>
    <row r="79" ht="21.75" customHeight="1" s="48">
      <c r="A79" s="93" t="n"/>
      <c r="B79" s="93" t="n"/>
      <c r="C79" s="93" t="n"/>
      <c r="D79" s="93" t="n"/>
      <c r="E79" s="93" t="n"/>
      <c r="F79" s="93" t="n"/>
      <c r="G79" s="93" t="n"/>
    </row>
    <row r="80" ht="21.75" customHeight="1" s="48">
      <c r="A80" s="93" t="n"/>
      <c r="B80" s="93" t="n"/>
      <c r="C80" s="93" t="n"/>
      <c r="D80" s="93" t="n"/>
      <c r="E80" s="93" t="n"/>
      <c r="F80" s="93" t="n"/>
      <c r="G80" s="93" t="n"/>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6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47" min="1" max="1"/>
    <col width="14" customWidth="1" style="47" min="2" max="3"/>
    <col width="16" customWidth="1" style="47" min="4" max="4"/>
    <col width="50" customWidth="1" style="47" min="5" max="5"/>
    <col width="14" customWidth="1" style="47" min="6" max="6"/>
  </cols>
  <sheetData>
    <row r="1" ht="24" customHeight="1" s="48">
      <c r="A1" s="89" t="inlineStr">
        <is>
          <t>REPORTS  —  what divisions filed</t>
        </is>
      </c>
    </row>
    <row r="2" ht="15" customHeight="1" s="48">
      <c r="A2" s="90" t="inlineStr">
        <is>
          <t>Each report has a CEO verdict: Accepted (loop closes) or Re-tasked (new goal spawned).</t>
        </is>
      </c>
    </row>
    <row r="3"/>
    <row r="4" ht="30" customHeight="1" s="48">
      <c r="A4" s="67" t="inlineStr">
        <is>
          <t>Report ID</t>
        </is>
      </c>
      <c r="B4" s="67" t="inlineStr">
        <is>
          <t>Date</t>
        </is>
      </c>
      <c r="C4" s="67" t="inlineStr">
        <is>
          <t>Division</t>
        </is>
      </c>
      <c r="D4" s="67" t="inlineStr">
        <is>
          <t>Type</t>
        </is>
      </c>
      <c r="E4" s="67" t="inlineStr">
        <is>
          <t>Summary</t>
        </is>
      </c>
      <c r="F4" s="67" t="inlineStr">
        <is>
          <t>CEO verdict</t>
        </is>
      </c>
    </row>
    <row r="5" ht="30" customHeight="1" s="48">
      <c r="A5" s="91" t="inlineStr">
        <is>
          <t>R-001</t>
        </is>
      </c>
      <c r="B5" s="92" t="n">
        <v>46125</v>
      </c>
      <c r="C5" s="93" t="inlineStr">
        <is>
          <t>Trading</t>
        </is>
      </c>
      <c r="D5" s="93" t="inlineStr">
        <is>
          <t>daily_brief</t>
        </is>
      </c>
      <c r="E5" s="93" t="inlineStr">
        <is>
          <t>2 bots monitored, 21 error lines, 3 alerts</t>
        </is>
      </c>
      <c r="F5" s="93" t="n"/>
    </row>
    <row r="6" ht="30" customHeight="1" s="48">
      <c r="A6" s="91" t="inlineStr">
        <is>
          <t>R-002</t>
        </is>
      </c>
      <c r="B6" s="92" t="n">
        <v>46125</v>
      </c>
      <c r="C6" s="93" t="inlineStr">
        <is>
          <t>Websites</t>
        </is>
      </c>
      <c r="D6" s="93" t="inlineStr">
        <is>
          <t>daily_brief</t>
        </is>
      </c>
      <c r="E6" s="93" t="inlineStr">
        <is>
          <t>2/2 websites up, all &lt;1s response</t>
        </is>
      </c>
      <c r="F6" s="93" t="n"/>
    </row>
    <row r="7" ht="30" customHeight="1" s="48">
      <c r="A7" s="91" t="inlineStr">
        <is>
          <t>R-003</t>
        </is>
      </c>
      <c r="B7" s="92" t="n">
        <v>46125</v>
      </c>
      <c r="C7" s="93" t="inlineStr">
        <is>
          <t>Holding</t>
        </is>
      </c>
      <c r="D7" s="93" t="inlineStr">
        <is>
          <t>heartbeat</t>
        </is>
      </c>
      <c r="E7" s="93" t="inlineStr">
        <is>
          <t>company_status=RED, trading=AMBER, websites=RED</t>
        </is>
      </c>
      <c r="F7" s="93" t="n"/>
    </row>
    <row r="8" ht="21.75" customHeight="1" s="48">
      <c r="A8" s="93" t="n"/>
      <c r="B8" s="93" t="n"/>
      <c r="C8" s="93" t="n"/>
      <c r="D8" s="93" t="n"/>
      <c r="E8" s="93" t="n"/>
      <c r="F8" s="93" t="n"/>
    </row>
    <row r="9" ht="21.75" customHeight="1" s="48">
      <c r="A9" s="93" t="n"/>
      <c r="B9" s="93" t="n"/>
      <c r="C9" s="93" t="n"/>
      <c r="D9" s="93" t="n"/>
      <c r="E9" s="93" t="n"/>
      <c r="F9" s="93" t="n"/>
    </row>
    <row r="10" ht="21.75" customHeight="1" s="48">
      <c r="A10" s="93" t="n"/>
      <c r="B10" s="93" t="n"/>
      <c r="C10" s="93" t="n"/>
      <c r="D10" s="93" t="n"/>
      <c r="E10" s="93" t="n"/>
      <c r="F10" s="93" t="n"/>
    </row>
    <row r="11" ht="21.75" customHeight="1" s="48">
      <c r="A11" s="93" t="n"/>
      <c r="B11" s="93" t="n"/>
      <c r="C11" s="93" t="n"/>
      <c r="D11" s="93" t="n"/>
      <c r="E11" s="93" t="n"/>
      <c r="F11" s="93" t="n"/>
    </row>
    <row r="12" ht="21.75" customHeight="1" s="48">
      <c r="A12" s="93" t="n"/>
      <c r="B12" s="93" t="n"/>
      <c r="C12" s="93" t="n"/>
      <c r="D12" s="93" t="n"/>
      <c r="E12" s="93" t="n"/>
      <c r="F12" s="93" t="n"/>
    </row>
    <row r="13" ht="21.75" customHeight="1" s="48">
      <c r="A13" s="93" t="n"/>
      <c r="B13" s="93" t="n"/>
      <c r="C13" s="93" t="n"/>
      <c r="D13" s="93" t="n"/>
      <c r="E13" s="93" t="n"/>
      <c r="F13" s="93" t="n"/>
    </row>
    <row r="14" ht="21.75" customHeight="1" s="48">
      <c r="A14" s="93" t="n"/>
      <c r="B14" s="93" t="n"/>
      <c r="C14" s="93" t="n"/>
      <c r="D14" s="93" t="n"/>
      <c r="E14" s="93" t="n"/>
      <c r="F14" s="93" t="n"/>
    </row>
    <row r="15" ht="21.75" customHeight="1" s="48">
      <c r="A15" s="93" t="n"/>
      <c r="B15" s="93" t="n"/>
      <c r="C15" s="93" t="n"/>
      <c r="D15" s="93" t="n"/>
      <c r="E15" s="93" t="n"/>
      <c r="F15" s="93" t="n"/>
    </row>
    <row r="16" ht="21.75" customHeight="1" s="48">
      <c r="A16" s="93" t="n"/>
      <c r="B16" s="93" t="n"/>
      <c r="C16" s="93" t="n"/>
      <c r="D16" s="93" t="n"/>
      <c r="E16" s="93" t="n"/>
      <c r="F16" s="93" t="n"/>
    </row>
    <row r="17" ht="21.75" customHeight="1" s="48">
      <c r="A17" s="93" t="n"/>
      <c r="B17" s="93" t="n"/>
      <c r="C17" s="93" t="n"/>
      <c r="D17" s="93" t="n"/>
      <c r="E17" s="93" t="n"/>
      <c r="F17" s="93" t="n"/>
    </row>
    <row r="18" ht="21.75" customHeight="1" s="48">
      <c r="A18" s="93" t="n"/>
      <c r="B18" s="93" t="n"/>
      <c r="C18" s="93" t="n"/>
      <c r="D18" s="93" t="n"/>
      <c r="E18" s="93" t="n"/>
      <c r="F18" s="93" t="n"/>
    </row>
    <row r="19" ht="21.75" customHeight="1" s="48">
      <c r="A19" s="93" t="n"/>
      <c r="B19" s="93" t="n"/>
      <c r="C19" s="93" t="n"/>
      <c r="D19" s="93" t="n"/>
      <c r="E19" s="93" t="n"/>
      <c r="F19" s="93" t="n"/>
    </row>
    <row r="20" ht="21.75" customHeight="1" s="48">
      <c r="A20" s="93" t="n"/>
      <c r="B20" s="93" t="n"/>
      <c r="C20" s="93" t="n"/>
      <c r="D20" s="93" t="n"/>
      <c r="E20" s="93" t="n"/>
      <c r="F20" s="93" t="n"/>
    </row>
    <row r="21" ht="21.75" customHeight="1" s="48">
      <c r="A21" s="93" t="n"/>
      <c r="B21" s="93" t="n"/>
      <c r="C21" s="93" t="n"/>
      <c r="D21" s="93" t="n"/>
      <c r="E21" s="93" t="n"/>
      <c r="F21" s="93" t="n"/>
    </row>
    <row r="22" ht="21.75" customHeight="1" s="48">
      <c r="A22" s="93" t="n"/>
      <c r="B22" s="93" t="n"/>
      <c r="C22" s="93" t="n"/>
      <c r="D22" s="93" t="n"/>
      <c r="E22" s="93" t="n"/>
      <c r="F22" s="93" t="n"/>
    </row>
    <row r="23" ht="21.75" customHeight="1" s="48">
      <c r="A23" s="93" t="n"/>
      <c r="B23" s="93" t="n"/>
      <c r="C23" s="93" t="n"/>
      <c r="D23" s="93" t="n"/>
      <c r="E23" s="93" t="n"/>
      <c r="F23" s="93" t="n"/>
    </row>
    <row r="24" ht="21.75" customHeight="1" s="48">
      <c r="A24" s="93" t="n"/>
      <c r="B24" s="93" t="n"/>
      <c r="C24" s="93" t="n"/>
      <c r="D24" s="93" t="n"/>
      <c r="E24" s="93" t="n"/>
      <c r="F24" s="93" t="n"/>
    </row>
    <row r="25" ht="21.75" customHeight="1" s="48">
      <c r="A25" s="93" t="n"/>
      <c r="B25" s="93" t="n"/>
      <c r="C25" s="93" t="n"/>
      <c r="D25" s="93" t="n"/>
      <c r="E25" s="93" t="n"/>
      <c r="F25" s="93" t="n"/>
    </row>
    <row r="26" ht="21.75" customHeight="1" s="48">
      <c r="A26" s="93" t="n"/>
      <c r="B26" s="93" t="n"/>
      <c r="C26" s="93" t="n"/>
      <c r="D26" s="93" t="n"/>
      <c r="E26" s="93" t="n"/>
      <c r="F26" s="93" t="n"/>
    </row>
    <row r="27" ht="21.75" customHeight="1" s="48">
      <c r="A27" s="93" t="n"/>
      <c r="B27" s="93" t="n"/>
      <c r="C27" s="93" t="n"/>
      <c r="D27" s="93" t="n"/>
      <c r="E27" s="93" t="n"/>
      <c r="F27" s="93" t="n"/>
    </row>
    <row r="28" ht="21.75" customHeight="1" s="48">
      <c r="A28" s="93" t="n"/>
      <c r="B28" s="93" t="n"/>
      <c r="C28" s="93" t="n"/>
      <c r="D28" s="93" t="n"/>
      <c r="E28" s="93" t="n"/>
      <c r="F28" s="93" t="n"/>
    </row>
    <row r="29" ht="21.75" customHeight="1" s="48">
      <c r="A29" s="93" t="n"/>
      <c r="B29" s="93" t="n"/>
      <c r="C29" s="93" t="n"/>
      <c r="D29" s="93" t="n"/>
      <c r="E29" s="93" t="n"/>
      <c r="F29" s="93" t="n"/>
    </row>
    <row r="30" ht="21.75" customHeight="1" s="48">
      <c r="A30" s="93" t="n"/>
      <c r="B30" s="93" t="n"/>
      <c r="C30" s="93" t="n"/>
      <c r="D30" s="93" t="n"/>
      <c r="E30" s="93" t="n"/>
      <c r="F30" s="93" t="n"/>
    </row>
    <row r="31" ht="21.75" customHeight="1" s="48">
      <c r="A31" s="93" t="n"/>
      <c r="B31" s="93" t="n"/>
      <c r="C31" s="93" t="n"/>
      <c r="D31" s="93" t="n"/>
      <c r="E31" s="93" t="n"/>
      <c r="F31" s="93" t="n"/>
    </row>
    <row r="32" ht="21.75" customHeight="1" s="48">
      <c r="A32" s="93" t="n"/>
      <c r="B32" s="93" t="n"/>
      <c r="C32" s="93" t="n"/>
      <c r="D32" s="93" t="n"/>
      <c r="E32" s="93" t="n"/>
      <c r="F32" s="93" t="n"/>
    </row>
    <row r="33" ht="21.75" customHeight="1" s="48">
      <c r="A33" s="93" t="n"/>
      <c r="B33" s="93" t="n"/>
      <c r="C33" s="93" t="n"/>
      <c r="D33" s="93" t="n"/>
      <c r="E33" s="93" t="n"/>
      <c r="F33" s="93" t="n"/>
    </row>
    <row r="34" ht="21.75" customHeight="1" s="48">
      <c r="A34" s="93" t="n"/>
      <c r="B34" s="93" t="n"/>
      <c r="C34" s="93" t="n"/>
      <c r="D34" s="93" t="n"/>
      <c r="E34" s="93" t="n"/>
      <c r="F34" s="93" t="n"/>
    </row>
    <row r="35" ht="21.75" customHeight="1" s="48">
      <c r="A35" s="93" t="n"/>
      <c r="B35" s="93" t="n"/>
      <c r="C35" s="93" t="n"/>
      <c r="D35" s="93" t="n"/>
      <c r="E35" s="93" t="n"/>
      <c r="F35" s="93" t="n"/>
    </row>
    <row r="36" ht="21.75" customHeight="1" s="48">
      <c r="A36" s="93" t="n"/>
      <c r="B36" s="93" t="n"/>
      <c r="C36" s="93" t="n"/>
      <c r="D36" s="93" t="n"/>
      <c r="E36" s="93" t="n"/>
      <c r="F36" s="93" t="n"/>
    </row>
    <row r="37" ht="21.75" customHeight="1" s="48">
      <c r="A37" s="93" t="n"/>
      <c r="B37" s="93" t="n"/>
      <c r="C37" s="93" t="n"/>
      <c r="D37" s="93" t="n"/>
      <c r="E37" s="93" t="n"/>
      <c r="F37" s="93" t="n"/>
    </row>
    <row r="38" ht="21.75" customHeight="1" s="48">
      <c r="A38" s="93" t="n"/>
      <c r="B38" s="93" t="n"/>
      <c r="C38" s="93" t="n"/>
      <c r="D38" s="93" t="n"/>
      <c r="E38" s="93" t="n"/>
      <c r="F38" s="93" t="n"/>
    </row>
    <row r="39" ht="21.75" customHeight="1" s="48">
      <c r="A39" s="93" t="n"/>
      <c r="B39" s="93" t="n"/>
      <c r="C39" s="93" t="n"/>
      <c r="D39" s="93" t="n"/>
      <c r="E39" s="93" t="n"/>
      <c r="F39" s="93" t="n"/>
    </row>
    <row r="40" ht="21.75" customHeight="1" s="48">
      <c r="A40" s="93" t="n"/>
      <c r="B40" s="93" t="n"/>
      <c r="C40" s="93" t="n"/>
      <c r="D40" s="93" t="n"/>
      <c r="E40" s="93" t="n"/>
      <c r="F40" s="93" t="n"/>
    </row>
    <row r="41" ht="21.75" customHeight="1" s="48">
      <c r="A41" s="93" t="n"/>
      <c r="B41" s="93" t="n"/>
      <c r="C41" s="93" t="n"/>
      <c r="D41" s="93" t="n"/>
      <c r="E41" s="93" t="n"/>
      <c r="F41" s="93" t="n"/>
    </row>
    <row r="42" ht="21.75" customHeight="1" s="48">
      <c r="A42" s="93" t="n"/>
      <c r="B42" s="93" t="n"/>
      <c r="C42" s="93" t="n"/>
      <c r="D42" s="93" t="n"/>
      <c r="E42" s="93" t="n"/>
      <c r="F42" s="93" t="n"/>
    </row>
    <row r="43" ht="21.75" customHeight="1" s="48">
      <c r="A43" s="93" t="n"/>
      <c r="B43" s="93" t="n"/>
      <c r="C43" s="93" t="n"/>
      <c r="D43" s="93" t="n"/>
      <c r="E43" s="93" t="n"/>
      <c r="F43" s="93" t="n"/>
    </row>
    <row r="44" ht="21.75" customHeight="1" s="48">
      <c r="A44" s="93" t="n"/>
      <c r="B44" s="93" t="n"/>
      <c r="C44" s="93" t="n"/>
      <c r="D44" s="93" t="n"/>
      <c r="E44" s="93" t="n"/>
      <c r="F44" s="93" t="n"/>
    </row>
    <row r="45" ht="21.75" customHeight="1" s="48">
      <c r="A45" s="93" t="n"/>
      <c r="B45" s="93" t="n"/>
      <c r="C45" s="93" t="n"/>
      <c r="D45" s="93" t="n"/>
      <c r="E45" s="93" t="n"/>
      <c r="F45" s="93" t="n"/>
    </row>
    <row r="46" ht="21.75" customHeight="1" s="48">
      <c r="A46" s="93" t="n"/>
      <c r="B46" s="93" t="n"/>
      <c r="C46" s="93" t="n"/>
      <c r="D46" s="93" t="n"/>
      <c r="E46" s="93" t="n"/>
      <c r="F46" s="93" t="n"/>
    </row>
    <row r="47" ht="21.75" customHeight="1" s="48">
      <c r="A47" s="93" t="n"/>
      <c r="B47" s="93" t="n"/>
      <c r="C47" s="93" t="n"/>
      <c r="D47" s="93" t="n"/>
      <c r="E47" s="93" t="n"/>
      <c r="F47" s="93" t="n"/>
    </row>
    <row r="48" ht="21.75" customHeight="1" s="48">
      <c r="A48" s="93" t="n"/>
      <c r="B48" s="93" t="n"/>
      <c r="C48" s="93" t="n"/>
      <c r="D48" s="93" t="n"/>
      <c r="E48" s="93" t="n"/>
      <c r="F48" s="93" t="n"/>
    </row>
    <row r="49" ht="21.75" customHeight="1" s="48">
      <c r="A49" s="93" t="n"/>
      <c r="B49" s="93" t="n"/>
      <c r="C49" s="93" t="n"/>
      <c r="D49" s="93" t="n"/>
      <c r="E49" s="93" t="n"/>
      <c r="F49" s="93" t="n"/>
    </row>
    <row r="50" ht="21.75" customHeight="1" s="48">
      <c r="A50" s="93" t="n"/>
      <c r="B50" s="93" t="n"/>
      <c r="C50" s="93" t="n"/>
      <c r="D50" s="93" t="n"/>
      <c r="E50" s="93" t="n"/>
      <c r="F50" s="93" t="n"/>
    </row>
    <row r="51" ht="21.75" customHeight="1" s="48">
      <c r="A51" s="93" t="n"/>
      <c r="B51" s="93" t="n"/>
      <c r="C51" s="93" t="n"/>
      <c r="D51" s="93" t="n"/>
      <c r="E51" s="93" t="n"/>
      <c r="F51" s="93" t="n"/>
    </row>
    <row r="52" ht="21.75" customHeight="1" s="48">
      <c r="A52" s="93" t="n"/>
      <c r="B52" s="93" t="n"/>
      <c r="C52" s="93" t="n"/>
      <c r="D52" s="93" t="n"/>
      <c r="E52" s="93" t="n"/>
      <c r="F52" s="93" t="n"/>
    </row>
    <row r="53" ht="21.75" customHeight="1" s="48">
      <c r="A53" s="93" t="n"/>
      <c r="B53" s="93" t="n"/>
      <c r="C53" s="93" t="n"/>
      <c r="D53" s="93" t="n"/>
      <c r="E53" s="93" t="n"/>
      <c r="F53" s="93" t="n"/>
    </row>
    <row r="54" ht="21.75" customHeight="1" s="48">
      <c r="A54" s="93" t="n"/>
      <c r="B54" s="93" t="n"/>
      <c r="C54" s="93" t="n"/>
      <c r="D54" s="93" t="n"/>
      <c r="E54" s="93" t="n"/>
      <c r="F54" s="93" t="n"/>
    </row>
    <row r="55" ht="21.75" customHeight="1" s="48">
      <c r="A55" s="93" t="n"/>
      <c r="B55" s="93" t="n"/>
      <c r="C55" s="93" t="n"/>
      <c r="D55" s="93" t="n"/>
      <c r="E55" s="93" t="n"/>
      <c r="F55" s="93" t="n"/>
    </row>
    <row r="56" ht="21.75" customHeight="1" s="48">
      <c r="A56" s="93" t="n"/>
      <c r="B56" s="93" t="n"/>
      <c r="C56" s="93" t="n"/>
      <c r="D56" s="93" t="n"/>
      <c r="E56" s="93" t="n"/>
      <c r="F56" s="93" t="n"/>
    </row>
    <row r="57" ht="21.75" customHeight="1" s="48">
      <c r="A57" s="93" t="n"/>
      <c r="B57" s="93" t="n"/>
      <c r="C57" s="93" t="n"/>
      <c r="D57" s="93" t="n"/>
      <c r="E57" s="93" t="n"/>
      <c r="F57" s="93" t="n"/>
    </row>
    <row r="58" ht="21.75" customHeight="1" s="48">
      <c r="A58" s="93" t="n"/>
      <c r="B58" s="93" t="n"/>
      <c r="C58" s="93" t="n"/>
      <c r="D58" s="93" t="n"/>
      <c r="E58" s="93" t="n"/>
      <c r="F58" s="93" t="n"/>
    </row>
    <row r="59" ht="21.75" customHeight="1" s="48">
      <c r="A59" s="93" t="n"/>
      <c r="B59" s="93" t="n"/>
      <c r="C59" s="93" t="n"/>
      <c r="D59" s="93" t="n"/>
      <c r="E59" s="93" t="n"/>
      <c r="F59" s="93" t="n"/>
    </row>
    <row r="60" ht="21.75" customHeight="1" s="48">
      <c r="A60" s="93" t="n"/>
      <c r="B60" s="93" t="n"/>
      <c r="C60" s="93" t="n"/>
      <c r="D60" s="93" t="n"/>
      <c r="E60" s="93" t="n"/>
      <c r="F60" s="93" t="n"/>
    </row>
  </sheetData>
  <mergeCells count="2">
    <mergeCell ref="A2:F2"/>
    <mergeCell ref="A1:F1"/>
  </mergeCells>
  <conditionalFormatting sqref="F5:F60">
    <cfRule type="expression" rank="0" priority="2" equalAverage="0" aboveAverage="0" dxfId="0" text="" percent="0" bottom="0">
      <formula>EXACT($F5,"accepted")</formula>
    </cfRule>
    <cfRule type="expression" rank="0" priority="3" equalAverage="0" aboveAverage="0" dxfId="1" text="" percent="0" bottom="0">
      <formula>EXACT($F5,"re-tasked")</formula>
    </cfRule>
    <cfRule type="expression" rank="0" priority="4" equalAverage="0" aboveAverage="0" dxfId="3" text="" percent="0" bottom="0">
      <formula>EXACT($F5,"queued")</formula>
    </cfRule>
  </conditionalFormatting>
  <dataValidations count="1">
    <dataValidation sqref="F5:F60" showDropDown="0" showInputMessage="0" showErrorMessage="0" allowBlank="1" type="list" errorStyle="stop" operator="between">
      <formula1>",accepted,re-tasked,queued"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47" min="1" max="1"/>
    <col width="18" customWidth="1" style="47" min="2" max="2"/>
    <col width="20" customWidth="1" style="47" min="3" max="3"/>
    <col width="16" customWidth="1" style="47" min="4" max="5"/>
    <col width="30" customWidth="1" style="47" min="6" max="6"/>
  </cols>
  <sheetData>
    <row r="1" ht="24" customHeight="1" s="48">
      <c r="A1" s="89" t="inlineStr">
        <is>
          <t>TIME SAVED  —  is the system actually saving CEO hours?</t>
        </is>
      </c>
    </row>
    <row r="2" ht="15" customHeight="1" s="48">
      <c r="A2" s="90" t="inlineStr">
        <is>
          <t>Logged weekly. Net negative for 2 weeks running = operating model is failing. Revise.</t>
        </is>
      </c>
    </row>
    <row r="3"/>
    <row r="4" ht="30" customHeight="1" s="48">
      <c r="A4" s="67" t="inlineStr">
        <is>
          <t>Week starting</t>
        </is>
      </c>
      <c r="B4" s="67" t="inlineStr">
        <is>
          <t>CEO hrs ON system</t>
        </is>
      </c>
      <c r="C4" s="67" t="inlineStr">
        <is>
          <t>CEO hrs SAVED (est.)</t>
        </is>
      </c>
      <c r="D4" s="67" t="inlineStr">
        <is>
          <t>Net hrs saved</t>
        </is>
      </c>
      <c r="E4" s="67" t="inlineStr">
        <is>
          <t>Decisions made</t>
        </is>
      </c>
      <c r="F4" s="67" t="inlineStr">
        <is>
          <t>Notes</t>
        </is>
      </c>
    </row>
    <row r="5" ht="21.75" customHeight="1" s="48">
      <c r="A5" s="95" t="n">
        <v>46125</v>
      </c>
      <c r="B5" s="96" t="n">
        <v>5</v>
      </c>
      <c r="C5" s="96" t="n">
        <v>2</v>
      </c>
      <c r="D5" s="97">
        <f>C5-B5</f>
        <v/>
      </c>
      <c r="E5" s="96" t="n">
        <v>3</v>
      </c>
      <c r="F5" s="98" t="inlineStr">
        <is>
          <t>baseline week — heavy setup</t>
        </is>
      </c>
    </row>
    <row r="6" ht="21.75" customHeight="1" s="48">
      <c r="A6" s="95" t="n">
        <v>46132</v>
      </c>
      <c r="B6" s="96" t="n">
        <v>4</v>
      </c>
      <c r="C6" s="96" t="n">
        <v>4</v>
      </c>
      <c r="D6" s="97">
        <f>C6-B6</f>
        <v/>
      </c>
      <c r="E6" s="96" t="n">
        <v>5</v>
      </c>
      <c r="F6" s="98" t="inlineStr">
        <is>
          <t>Telegram ops live</t>
        </is>
      </c>
    </row>
    <row r="7" ht="21.75" customHeight="1" s="48">
      <c r="A7" s="95" t="n">
        <v>46139</v>
      </c>
      <c r="B7" s="96" t="n">
        <v>3</v>
      </c>
      <c r="C7" s="96" t="n">
        <v>6</v>
      </c>
      <c r="D7" s="97">
        <f>C7-B7</f>
        <v/>
      </c>
      <c r="E7" s="96" t="n">
        <v>7</v>
      </c>
      <c r="F7" s="98" t="inlineStr">
        <is>
          <t>scheduler verified</t>
        </is>
      </c>
    </row>
    <row r="8" ht="19.5" customHeight="1" s="48">
      <c r="A8" s="95" t="n">
        <v>46146</v>
      </c>
      <c r="B8" s="97" t="n"/>
      <c r="C8" s="97" t="n"/>
      <c r="D8" s="97">
        <f>IF(AND(ISNUMBER(C8),ISNUMBER(B8)),C8-B8,"")</f>
        <v/>
      </c>
      <c r="E8" s="97" t="n"/>
      <c r="F8" s="98" t="n"/>
    </row>
    <row r="9" ht="19.5" customHeight="1" s="48">
      <c r="A9" s="95" t="n">
        <v>46153</v>
      </c>
      <c r="B9" s="97" t="n"/>
      <c r="C9" s="97" t="n"/>
      <c r="D9" s="97">
        <f>IF(AND(ISNUMBER(C9),ISNUMBER(B9)),C9-B9,"")</f>
        <v/>
      </c>
      <c r="E9" s="97" t="n"/>
      <c r="F9" s="98" t="n"/>
    </row>
    <row r="10" ht="19.5" customHeight="1" s="48">
      <c r="A10" s="95" t="n">
        <v>46160</v>
      </c>
      <c r="B10" s="97" t="n"/>
      <c r="C10" s="97" t="n"/>
      <c r="D10" s="97">
        <f>IF(AND(ISNUMBER(C10),ISNUMBER(B10)),C10-B10,"")</f>
        <v/>
      </c>
      <c r="E10" s="97" t="n"/>
      <c r="F10" s="98" t="n"/>
    </row>
    <row r="11" ht="19.5" customHeight="1" s="48">
      <c r="A11" s="95" t="n">
        <v>46167</v>
      </c>
      <c r="B11" s="97" t="n"/>
      <c r="C11" s="97" t="n"/>
      <c r="D11" s="97">
        <f>IF(AND(ISNUMBER(C11),ISNUMBER(B11)),C11-B11,"")</f>
        <v/>
      </c>
      <c r="E11" s="97" t="n"/>
      <c r="F11" s="98" t="n"/>
    </row>
    <row r="12" ht="19.5" customHeight="1" s="48">
      <c r="A12" s="95" t="n">
        <v>46174</v>
      </c>
      <c r="B12" s="97" t="n"/>
      <c r="C12" s="97" t="n"/>
      <c r="D12" s="97">
        <f>IF(AND(ISNUMBER(C12),ISNUMBER(B12)),C12-B12,"")</f>
        <v/>
      </c>
      <c r="E12" s="97" t="n"/>
      <c r="F12" s="98" t="n"/>
    </row>
    <row r="13" ht="19.5" customHeight="1" s="48">
      <c r="A13" s="95" t="n">
        <v>46181</v>
      </c>
      <c r="B13" s="97" t="n"/>
      <c r="C13" s="97" t="n"/>
      <c r="D13" s="97">
        <f>IF(AND(ISNUMBER(C13),ISNUMBER(B13)),C13-B13,"")</f>
        <v/>
      </c>
      <c r="E13" s="97" t="n"/>
      <c r="F13" s="98" t="n"/>
    </row>
    <row r="14" ht="19.5" customHeight="1" s="48">
      <c r="A14" s="95" t="n">
        <v>46188</v>
      </c>
      <c r="B14" s="97" t="n"/>
      <c r="C14" s="97" t="n"/>
      <c r="D14" s="97">
        <f>IF(AND(ISNUMBER(C14),ISNUMBER(B14)),C14-B14,"")</f>
        <v/>
      </c>
      <c r="E14" s="97" t="n"/>
      <c r="F14" s="98" t="n"/>
    </row>
    <row r="15" ht="19.5" customHeight="1" s="48">
      <c r="A15" s="95" t="n">
        <v>46195</v>
      </c>
      <c r="B15" s="97" t="n"/>
      <c r="C15" s="97" t="n"/>
      <c r="D15" s="97">
        <f>IF(AND(ISNUMBER(C15),ISNUMBER(B15)),C15-B15,"")</f>
        <v/>
      </c>
      <c r="E15" s="97" t="n"/>
      <c r="F15" s="98" t="n"/>
    </row>
    <row r="16" ht="19.5" customHeight="1" s="48">
      <c r="A16" s="95" t="n">
        <v>46202</v>
      </c>
      <c r="B16" s="97" t="n"/>
      <c r="C16" s="97" t="n"/>
      <c r="D16" s="97">
        <f>IF(AND(ISNUMBER(C16),ISNUMBER(B16)),C16-B16,"")</f>
        <v/>
      </c>
      <c r="E16" s="97" t="n"/>
      <c r="F16" s="98" t="n"/>
    </row>
    <row r="17" ht="19.5" customHeight="1" s="48">
      <c r="A17" s="95" t="n">
        <v>46209</v>
      </c>
      <c r="B17" s="97" t="n"/>
      <c r="C17" s="97" t="n"/>
      <c r="D17" s="97">
        <f>IF(AND(ISNUMBER(C17),ISNUMBER(B17)),C17-B17,"")</f>
        <v/>
      </c>
      <c r="E17" s="97" t="n"/>
      <c r="F17" s="98" t="n"/>
    </row>
    <row r="18" ht="19.5" customHeight="1" s="48">
      <c r="A18" s="95" t="n">
        <v>46216</v>
      </c>
      <c r="B18" s="97" t="n"/>
      <c r="C18" s="97" t="n"/>
      <c r="D18" s="97">
        <f>IF(AND(ISNUMBER(C18),ISNUMBER(B18)),C18-B18,"")</f>
        <v/>
      </c>
      <c r="E18" s="97" t="n"/>
      <c r="F18" s="98" t="n"/>
    </row>
    <row r="19" ht="19.5" customHeight="1" s="48">
      <c r="A19" s="95" t="n">
        <v>46223</v>
      </c>
      <c r="B19" s="97" t="n"/>
      <c r="C19" s="97" t="n"/>
      <c r="D19" s="97">
        <f>IF(AND(ISNUMBER(C19),ISNUMBER(B19)),C19-B19,"")</f>
        <v/>
      </c>
      <c r="E19" s="97" t="n"/>
      <c r="F19" s="98" t="n"/>
    </row>
    <row r="20" ht="19.5" customHeight="1" s="48">
      <c r="A20" s="95" t="n">
        <v>46230</v>
      </c>
      <c r="B20" s="97" t="n"/>
      <c r="C20" s="97" t="n"/>
      <c r="D20" s="97">
        <f>IF(AND(ISNUMBER(C20),ISNUMBER(B20)),C20-B20,"")</f>
        <v/>
      </c>
      <c r="E20" s="97" t="n"/>
      <c r="F20" s="98" t="n"/>
    </row>
    <row r="21" ht="19.5" customHeight="1" s="48">
      <c r="A21" s="95" t="n">
        <v>46237</v>
      </c>
      <c r="B21" s="97" t="n"/>
      <c r="C21" s="97" t="n"/>
      <c r="D21" s="97">
        <f>IF(AND(ISNUMBER(C21),ISNUMBER(B21)),C21-B21,"")</f>
        <v/>
      </c>
      <c r="E21" s="97" t="n"/>
      <c r="F21" s="98" t="n"/>
    </row>
    <row r="22" ht="19.5" customHeight="1" s="48">
      <c r="A22" s="95" t="n">
        <v>46244</v>
      </c>
      <c r="B22" s="97" t="n"/>
      <c r="C22" s="97" t="n"/>
      <c r="D22" s="97">
        <f>IF(AND(ISNUMBER(C22),ISNUMBER(B22)),C22-B22,"")</f>
        <v/>
      </c>
      <c r="E22" s="97" t="n"/>
      <c r="F22" s="98" t="n"/>
    </row>
    <row r="23" ht="19.5" customHeight="1" s="48">
      <c r="A23" s="95" t="n">
        <v>46251</v>
      </c>
      <c r="B23" s="97" t="n"/>
      <c r="C23" s="97" t="n"/>
      <c r="D23" s="97">
        <f>IF(AND(ISNUMBER(C23),ISNUMBER(B23)),C23-B23,"")</f>
        <v/>
      </c>
      <c r="E23" s="97" t="n"/>
      <c r="F23" s="98" t="n"/>
    </row>
    <row r="24" ht="19.5" customHeight="1" s="48">
      <c r="A24" s="95" t="n">
        <v>46258</v>
      </c>
      <c r="B24" s="97" t="n"/>
      <c r="C24" s="97" t="n"/>
      <c r="D24" s="97">
        <f>IF(AND(ISNUMBER(C24),ISNUMBER(B24)),C24-B24,"")</f>
        <v/>
      </c>
      <c r="E24" s="97" t="n"/>
      <c r="F24" s="98" t="n"/>
    </row>
    <row r="25" ht="19.5" customHeight="1" s="48">
      <c r="A25" s="95" t="n">
        <v>46265</v>
      </c>
      <c r="B25" s="97" t="n"/>
      <c r="C25" s="97" t="n"/>
      <c r="D25" s="97">
        <f>IF(AND(ISNUMBER(C25),ISNUMBER(B25)),C25-B25,"")</f>
        <v/>
      </c>
      <c r="E25" s="97" t="n"/>
      <c r="F25" s="98" t="n"/>
    </row>
    <row r="26" ht="19.5" customHeight="1" s="48">
      <c r="A26" s="95" t="n">
        <v>46272</v>
      </c>
      <c r="B26" s="97" t="n"/>
      <c r="C26" s="97" t="n"/>
      <c r="D26" s="97">
        <f>IF(AND(ISNUMBER(C26),ISNUMBER(B26)),C26-B26,"")</f>
        <v/>
      </c>
      <c r="E26" s="97" t="n"/>
      <c r="F26" s="98" t="n"/>
    </row>
    <row r="27" ht="19.5" customHeight="1" s="48">
      <c r="A27" s="95" t="n">
        <v>46279</v>
      </c>
      <c r="B27" s="97" t="n"/>
      <c r="C27" s="97" t="n"/>
      <c r="D27" s="97">
        <f>IF(AND(ISNUMBER(C27),ISNUMBER(B27)),C27-B27,"")</f>
        <v/>
      </c>
      <c r="E27" s="97" t="n"/>
      <c r="F27" s="98" t="n"/>
    </row>
    <row r="28" ht="19.5" customHeight="1" s="48">
      <c r="A28" s="95" t="n">
        <v>46286</v>
      </c>
      <c r="B28" s="97" t="n"/>
      <c r="C28" s="97" t="n"/>
      <c r="D28" s="97">
        <f>IF(AND(ISNUMBER(C28),ISNUMBER(B28)),C28-B28,"")</f>
        <v/>
      </c>
      <c r="E28" s="97" t="n"/>
      <c r="F28" s="98" t="n"/>
    </row>
    <row r="29" ht="19.5" customHeight="1" s="48">
      <c r="A29" s="95" t="n">
        <v>46293</v>
      </c>
      <c r="B29" s="97" t="n"/>
      <c r="C29" s="97" t="n"/>
      <c r="D29" s="97">
        <f>IF(AND(ISNUMBER(C29),ISNUMBER(B29)),C29-B29,"")</f>
        <v/>
      </c>
      <c r="E29" s="97" t="n"/>
      <c r="F29" s="98" t="n"/>
    </row>
    <row r="30" ht="19.5" customHeight="1" s="48">
      <c r="A30" s="95" t="n">
        <v>46300</v>
      </c>
      <c r="B30" s="97" t="n"/>
      <c r="C30" s="97" t="n"/>
      <c r="D30" s="97">
        <f>IF(AND(ISNUMBER(C30),ISNUMBER(B30)),C30-B30,"")</f>
        <v/>
      </c>
      <c r="E30" s="97" t="n"/>
      <c r="F30" s="98" t="n"/>
    </row>
    <row r="31" ht="19.5" customHeight="1" s="48">
      <c r="A31" s="95" t="n">
        <v>46307</v>
      </c>
      <c r="B31" s="97" t="n"/>
      <c r="C31" s="97" t="n"/>
      <c r="D31" s="97">
        <f>IF(AND(ISNUMBER(C31),ISNUMBER(B31)),C31-B31,"")</f>
        <v/>
      </c>
      <c r="E31" s="97" t="n"/>
      <c r="F31" s="98" t="n"/>
    </row>
    <row r="32" ht="19.5" customHeight="1" s="48">
      <c r="A32" s="95" t="n">
        <v>46314</v>
      </c>
      <c r="B32" s="97" t="n"/>
      <c r="C32" s="97" t="n"/>
      <c r="D32" s="97">
        <f>IF(AND(ISNUMBER(C32),ISNUMBER(B32)),C32-B32,"")</f>
        <v/>
      </c>
      <c r="E32" s="97" t="n"/>
      <c r="F32" s="98" t="n"/>
    </row>
    <row r="33" ht="19.5" customHeight="1" s="48">
      <c r="A33" s="95" t="n">
        <v>46321</v>
      </c>
      <c r="B33" s="97" t="n"/>
      <c r="C33" s="97" t="n"/>
      <c r="D33" s="97">
        <f>IF(AND(ISNUMBER(C33),ISNUMBER(B33)),C33-B33,"")</f>
        <v/>
      </c>
      <c r="E33" s="97" t="n"/>
      <c r="F33" s="98" t="n"/>
    </row>
    <row r="34" ht="19.5" customHeight="1" s="48">
      <c r="A34" s="95" t="n">
        <v>46328</v>
      </c>
      <c r="B34" s="97" t="n"/>
      <c r="C34" s="97" t="n"/>
      <c r="D34" s="97">
        <f>IF(AND(ISNUMBER(C34),ISNUMBER(B34)),C34-B34,"")</f>
        <v/>
      </c>
      <c r="E34" s="97" t="n"/>
      <c r="F34" s="98" t="n"/>
    </row>
    <row r="35" ht="19.5" customHeight="1" s="48">
      <c r="A35" s="95" t="n">
        <v>46335</v>
      </c>
      <c r="B35" s="97" t="n"/>
      <c r="C35" s="97" t="n"/>
      <c r="D35" s="97">
        <f>IF(AND(ISNUMBER(C35),ISNUMBER(B35)),C35-B35,"")</f>
        <v/>
      </c>
      <c r="E35" s="97" t="n"/>
      <c r="F35" s="98" t="n"/>
    </row>
    <row r="36" ht="19.5" customHeight="1" s="48">
      <c r="A36" s="95" t="n">
        <v>46342</v>
      </c>
      <c r="B36" s="97" t="n"/>
      <c r="C36" s="97" t="n"/>
      <c r="D36" s="97">
        <f>IF(AND(ISNUMBER(C36),ISNUMBER(B36)),C36-B36,"")</f>
        <v/>
      </c>
      <c r="E36" s="97" t="n"/>
      <c r="F36" s="98" t="n"/>
    </row>
    <row r="37" ht="19.5" customHeight="1" s="48">
      <c r="A37" s="95" t="n">
        <v>46349</v>
      </c>
      <c r="B37" s="97" t="n"/>
      <c r="C37" s="97" t="n"/>
      <c r="D37" s="97">
        <f>IF(AND(ISNUMBER(C37),ISNUMBER(B37)),C37-B37,"")</f>
        <v/>
      </c>
      <c r="E37" s="97" t="n"/>
      <c r="F37" s="98" t="n"/>
    </row>
    <row r="38" ht="19.5" customHeight="1" s="48">
      <c r="A38" s="95" t="n">
        <v>46356</v>
      </c>
      <c r="B38" s="97" t="n"/>
      <c r="C38" s="97" t="n"/>
      <c r="D38" s="97">
        <f>IF(AND(ISNUMBER(C38),ISNUMBER(B38)),C38-B38,"")</f>
        <v/>
      </c>
      <c r="E38" s="97" t="n"/>
      <c r="F38" s="98" t="n"/>
    </row>
    <row r="39" ht="19.5" customHeight="1" s="48">
      <c r="A39" s="95" t="n">
        <v>46363</v>
      </c>
      <c r="B39" s="97" t="n"/>
      <c r="C39" s="97" t="n"/>
      <c r="D39" s="97">
        <f>IF(AND(ISNUMBER(C39),ISNUMBER(B39)),C39-B39,"")</f>
        <v/>
      </c>
      <c r="E39" s="97" t="n"/>
      <c r="F39" s="98" t="n"/>
    </row>
    <row r="40" ht="19.5" customHeight="1" s="48">
      <c r="A40" s="95" t="n">
        <v>46370</v>
      </c>
      <c r="B40" s="97" t="n"/>
      <c r="C40" s="97" t="n"/>
      <c r="D40" s="97">
        <f>IF(AND(ISNUMBER(C40),ISNUMBER(B40)),C40-B40,"")</f>
        <v/>
      </c>
      <c r="E40" s="97" t="n"/>
      <c r="F40" s="98" t="n"/>
    </row>
    <row r="41" ht="19.5" customHeight="1" s="48">
      <c r="A41" s="95" t="n">
        <v>46377</v>
      </c>
      <c r="B41" s="97" t="n"/>
      <c r="C41" s="97" t="n"/>
      <c r="D41" s="97">
        <f>IF(AND(ISNUMBER(C41),ISNUMBER(B41)),C41-B41,"")</f>
        <v/>
      </c>
      <c r="E41" s="97" t="n"/>
      <c r="F41" s="98" t="n"/>
    </row>
    <row r="42" ht="19.5" customHeight="1" s="48">
      <c r="A42" s="95" t="n">
        <v>46384</v>
      </c>
      <c r="B42" s="97" t="n"/>
      <c r="C42" s="97" t="n"/>
      <c r="D42" s="97">
        <f>IF(AND(ISNUMBER(C42),ISNUMBER(B42)),C42-B42,"")</f>
        <v/>
      </c>
      <c r="E42" s="97" t="n"/>
      <c r="F42" s="98" t="n"/>
    </row>
    <row r="43" ht="19.5" customHeight="1" s="48">
      <c r="A43" s="95" t="n">
        <v>46391</v>
      </c>
      <c r="B43" s="97" t="n"/>
      <c r="C43" s="97" t="n"/>
      <c r="D43" s="97">
        <f>IF(AND(ISNUMBER(C43),ISNUMBER(B43)),C43-B43,"")</f>
        <v/>
      </c>
      <c r="E43" s="97" t="n"/>
      <c r="F43" s="98" t="n"/>
    </row>
    <row r="44" ht="19.5" customHeight="1" s="48">
      <c r="A44" s="95" t="n">
        <v>46398</v>
      </c>
      <c r="B44" s="97" t="n"/>
      <c r="C44" s="97" t="n"/>
      <c r="D44" s="97">
        <f>IF(AND(ISNUMBER(C44),ISNUMBER(B44)),C44-B44,"")</f>
        <v/>
      </c>
      <c r="E44" s="97" t="n"/>
      <c r="F44" s="98" t="n"/>
    </row>
    <row r="45" ht="19.5" customHeight="1" s="48">
      <c r="A45" s="95" t="n">
        <v>46405</v>
      </c>
      <c r="B45" s="97" t="n"/>
      <c r="C45" s="97" t="n"/>
      <c r="D45" s="97">
        <f>IF(AND(ISNUMBER(C45),ISNUMBER(B45)),C45-B45,"")</f>
        <v/>
      </c>
      <c r="E45" s="97" t="n"/>
      <c r="F45" s="98" t="n"/>
    </row>
    <row r="46" ht="19.5" customHeight="1" s="48">
      <c r="A46" s="95" t="n">
        <v>46412</v>
      </c>
      <c r="B46" s="97" t="n"/>
      <c r="C46" s="97" t="n"/>
      <c r="D46" s="97">
        <f>IF(AND(ISNUMBER(C46),ISNUMBER(B46)),C46-B46,"")</f>
        <v/>
      </c>
      <c r="E46" s="97" t="n"/>
      <c r="F46" s="98" t="n"/>
    </row>
    <row r="47" ht="19.5" customHeight="1" s="48">
      <c r="A47" s="95" t="n">
        <v>46419</v>
      </c>
      <c r="B47" s="97" t="n"/>
      <c r="C47" s="97" t="n"/>
      <c r="D47" s="97">
        <f>IF(AND(ISNUMBER(C47),ISNUMBER(B47)),C47-B47,"")</f>
        <v/>
      </c>
      <c r="E47" s="97" t="n"/>
      <c r="F47" s="98" t="n"/>
    </row>
    <row r="48"/>
    <row r="49" ht="15" customHeight="1" s="48">
      <c r="A49" s="99" t="inlineStr">
        <is>
          <t>Totals</t>
        </is>
      </c>
      <c r="B49" s="100">
        <f>SUM(B5:B47)</f>
        <v/>
      </c>
      <c r="C49" s="100">
        <f>SUM(C5:C47)</f>
        <v/>
      </c>
      <c r="D49" s="100">
        <f>SUM(D5:D47)</f>
        <v/>
      </c>
      <c r="E49" s="100">
        <f>SUM(E5:E47)</f>
        <v/>
      </c>
      <c r="F49" s="99" t="n"/>
    </row>
  </sheetData>
  <mergeCells count="2">
    <mergeCell ref="A2:F2"/>
    <mergeCell ref="A1:F1"/>
  </mergeCells>
  <conditionalFormatting sqref="D5:D47">
    <cfRule type="cellIs" rank="0" priority="2" equalAverage="0" operator="lessThan" aboveAverage="0" dxfId="2" text="" percent="0" bottom="0">
      <formula>0</formula>
    </cfRule>
    <cfRule type="cellIs" rank="0" priority="3" equalAverage="0" operator="greaterThanOrEqual" aboveAverage="0" dxfId="0" text="" percent="0" bottom="0">
      <formula>3</formula>
    </cfRule>
    <cfRule type="cellIs" rank="0" priority="4" equalAverage="0" operator="between" aboveAverage="0" dxfId="1" text="" percent="0" bottom="0">
      <formula>0</formula>
      <formula>3</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2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0" customWidth="1" style="47" min="1" max="1"/>
    <col width="14" customWidth="1" style="47" min="2" max="2"/>
    <col width="80" customWidth="1" style="47" min="3" max="3"/>
    <col width="10" customWidth="1" style="47" min="4" max="4"/>
    <col width="18" customWidth="1" style="47" min="5" max="5"/>
    <col width="40" customWidth="1" style="47" min="6" max="6"/>
  </cols>
  <sheetData>
    <row r="1" ht="27.75" customHeight="1" s="48">
      <c r="A1" s="59" t="inlineStr">
        <is>
          <t>MODEL ARCHITECTURE  —  four local models, four roles, zero cloud</t>
        </is>
      </c>
    </row>
    <row r="2" ht="27.75" customHeight="1" s="48">
      <c r="A2" s="60" t="inlineStr">
        <is>
          <t>All inference runs locally via Ollama on the Windows desktop. No API keys. No cloud dependencies. Roles are fixed — do not swap models between roles without re-testing.</t>
        </is>
      </c>
    </row>
    <row r="3"/>
    <row r="4" ht="27.75" customHeight="1" s="48">
      <c r="A4" s="67" t="inlineStr">
        <is>
          <t>Model</t>
        </is>
      </c>
      <c r="B4" s="67" t="inlineStr">
        <is>
          <t>Ollama tag</t>
        </is>
      </c>
      <c r="C4" s="67" t="inlineStr">
        <is>
          <t>Role</t>
        </is>
      </c>
      <c r="D4" s="67" t="inlineStr">
        <is>
          <t>Size</t>
        </is>
      </c>
      <c r="E4" s="67" t="inlineStr">
        <is>
          <t>Stage introduced</t>
        </is>
      </c>
      <c r="F4" s="67" t="inlineStr">
        <is>
          <t>Scope / restrictions</t>
        </is>
      </c>
    </row>
    <row r="5" ht="60" customHeight="1" s="48">
      <c r="A5" s="101" t="inlineStr">
        <is>
          <t>qwen2.5-coder:7b</t>
        </is>
      </c>
      <c r="B5" s="102" t="inlineStr">
        <is>
          <t>qwen2.5-coder:7b</t>
        </is>
      </c>
      <c r="C5" s="102" t="inlineStr">
        <is>
          <t>Developer Tool</t>
        </is>
      </c>
      <c r="D5" s="102" t="inlineStr">
        <is>
          <t>4.7 GB</t>
        </is>
      </c>
      <c r="E5" s="102" t="inlineStr">
        <is>
          <t>Stage I</t>
        </is>
      </c>
      <c r="F5" s="102" t="inlineStr">
        <is>
          <t>Drafts changes to ai-capital-group scripts, prompts, and configs ONLY. Never touches bot source, website source, or anything that handles live money. All output reviewed by CEO before deploy. Compliance Guardian enforces scope gate.</t>
        </is>
      </c>
    </row>
    <row r="6" ht="60" customHeight="1" s="48">
      <c r="A6" s="101" t="inlineStr">
        <is>
          <t>Llama 3.1 8B</t>
        </is>
      </c>
      <c r="B6" s="102" t="inlineStr">
        <is>
          <t>llama3.1:8b</t>
        </is>
      </c>
      <c r="C6" s="102" t="inlineStr">
        <is>
          <t>CEO Layer / Managers</t>
        </is>
      </c>
      <c r="D6" s="102" t="inlineStr">
        <is>
          <t>4.9 GB</t>
        </is>
      </c>
      <c r="E6" s="102" t="inlineStr">
        <is>
          <t>Phase 2 / 3</t>
        </is>
      </c>
      <c r="F6" s="102" t="inlineStr">
        <is>
          <t>Primary reasoning model. Runs CEO layer (Phase 3), Division Managers (Phase 2), Commercial synthesis, Holding Board analysis. Not used for code generation.</t>
        </is>
      </c>
    </row>
    <row r="7" ht="60" customHeight="1" s="48">
      <c r="A7" s="101" t="inlineStr">
        <is>
          <t>Llama 3.2 3B</t>
        </is>
      </c>
      <c r="B7" s="102" t="inlineStr">
        <is>
          <t>llama3.2:latest</t>
        </is>
      </c>
      <c r="C7" s="102" t="inlineStr">
        <is>
          <t>Telegram Router / NLU</t>
        </is>
      </c>
      <c r="D7" s="102" t="inlineStr">
        <is>
          <t>2.0 GB</t>
        </is>
      </c>
      <c r="E7" s="102" t="inlineStr">
        <is>
          <t>Stage A</t>
        </is>
      </c>
      <c r="F7" s="102" t="inlineStr">
        <is>
          <t>Fast intent parser. Translates plain-English CEO messages into structured Goal records. Routes to correct division. Passes complex reasoning tasks to llama3.1:8b. Does not reason deeply.</t>
        </is>
      </c>
    </row>
    <row r="8" ht="60" customHeight="1" s="48">
      <c r="A8" s="101" t="inlineStr">
        <is>
          <t>nomic-embed-text</t>
        </is>
      </c>
      <c r="B8" s="102" t="inlineStr">
        <is>
          <t>nomic-embed-text:latest</t>
        </is>
      </c>
      <c r="C8" s="102" t="inlineStr">
        <is>
          <t>Semantic Memory (future)</t>
        </is>
      </c>
      <c r="D8" s="102" t="inlineStr">
        <is>
          <t>274 MB</t>
        </is>
      </c>
      <c r="E8" s="102" t="inlineStr">
        <is>
          <t>Stage I+</t>
        </is>
      </c>
      <c r="F8" s="102" t="inlineStr">
        <is>
          <t>Embedding only — not generative. Converts text to vectors for semantic search across past briefs, goals, and decisions. Inactive until deliberately enabled. Cannot generate text.</t>
        </is>
      </c>
    </row>
    <row r="9"/>
    <row r="10" ht="13.5" customHeight="1" s="48"/>
    <row r="11" ht="17.25" customHeight="1" s="48">
      <c r="A11" s="103" t="inlineStr">
        <is>
          <t>CAPABILITY DECISIONS  —  what is in and out of scope</t>
        </is>
      </c>
    </row>
    <row r="12" ht="24" customHeight="1" s="48">
      <c r="A12" s="67" t="inlineStr">
        <is>
          <t>Capability</t>
        </is>
      </c>
      <c r="B12" s="67" t="inlineStr">
        <is>
          <t>Decision</t>
        </is>
      </c>
      <c r="C12" s="67" t="inlineStr">
        <is>
          <t>Condition / rationale</t>
        </is>
      </c>
    </row>
    <row r="13" ht="39.75" customHeight="1" s="48">
      <c r="A13" s="104" t="inlineStr">
        <is>
          <t>Autonomous Daily Ops (monitoring, start/stop)</t>
        </is>
      </c>
      <c r="B13" s="105" t="inlineStr">
        <is>
          <t>IN (gated)</t>
        </is>
      </c>
      <c r="C13" s="104" t="inlineStr">
        <is>
          <t>Parameter changes must pass through Loop. Auto-publish deterministic data only. AI prose = CEO review before publish.</t>
        </is>
      </c>
    </row>
    <row r="14" ht="39.75" customHeight="1" s="48">
      <c r="A14" s="104" t="inlineStr">
        <is>
          <t>Real-Time Intelligence &amp; Reporting</t>
        </is>
      </c>
      <c r="B14" s="105" t="inlineStr">
        <is>
          <t>IN (full)</t>
        </is>
      </c>
      <c r="C14" s="104" t="inlineStr">
        <is>
          <t>Already live in Phase 1-3. Silence policy reconciled: default silent, /digest on opt-in.</t>
        </is>
      </c>
    </row>
    <row r="15" ht="39.75" customHeight="1" s="48">
      <c r="A15" s="104" t="inlineStr">
        <is>
          <t>Plain-English Goal Submission (NLU intake)</t>
        </is>
      </c>
      <c r="B15" s="105" t="inlineStr">
        <is>
          <t>IN</t>
        </is>
      </c>
      <c r="C15" s="104" t="inlineStr">
        <is>
          <t>llama3.2:3b router parses CEO messages. Slash commands retained for approvals.</t>
        </is>
      </c>
    </row>
    <row r="16" ht="39.75" customHeight="1" s="48">
      <c r="A16" s="104" t="inlineStr">
        <is>
          <t>Human-in-the-Loop + Compliance Guardian</t>
        </is>
      </c>
      <c r="B16" s="105" t="inlineStr">
        <is>
          <t>IN (full)</t>
        </is>
      </c>
      <c r="C16" s="104" t="inlineStr">
        <is>
          <t>Compliance Guardian cross-cutting agent vets every plan before Stage 04 fires.</t>
        </is>
      </c>
    </row>
    <row r="17" ht="39.75" customHeight="1" s="48">
      <c r="A17" s="104" t="inlineStr">
        <is>
          <t>Non-Disruptive Integration (principles)</t>
        </is>
      </c>
      <c r="B17" s="105" t="inlineStr">
        <is>
          <t>IN (full)</t>
        </is>
      </c>
      <c r="C17" s="104" t="inlineStr">
        <is>
          <t>Existing bots untouched. Thin read-only + control wrappers only.</t>
        </is>
      </c>
    </row>
    <row r="18" ht="39.75" customHeight="1" s="48">
      <c r="A18" s="104" t="inlineStr">
        <is>
          <t>Developer Tool — internal scripts/prompts/configs</t>
        </is>
      </c>
      <c r="B18" s="106" t="inlineStr">
        <is>
          <t>IN (Stage I)</t>
        </is>
      </c>
      <c r="C18" s="104" t="inlineStr">
        <is>
          <t>qwen2.5-coder:7b. CEO reviews diff before /deploy. Scope gate enforced by Compliance Guardian.</t>
        </is>
      </c>
    </row>
    <row r="19" ht="39.75" customHeight="1" s="48">
      <c r="A19" s="104" t="inlineStr">
        <is>
          <t>Developer Agent — bot / website source code</t>
        </is>
      </c>
      <c r="B19" s="106" t="inlineStr">
        <is>
          <t>DEFER</t>
        </is>
      </c>
      <c r="C19" s="104" t="inlineStr">
        <is>
          <t>Re-evaluate after Stage I when code quality is observed in practice. Not yet.</t>
        </is>
      </c>
    </row>
    <row r="20" ht="39.75" customHeight="1" s="48">
      <c r="A20" s="104" t="inlineStr">
        <is>
          <t>Self-Improvement via code (full autonomy)</t>
        </is>
      </c>
      <c r="B20" s="107" t="inlineStr">
        <is>
          <t>OUT</t>
        </is>
      </c>
      <c r="C20" s="104" t="inlineStr">
        <is>
          <t>7B code quality insufficient for production bot logic. Reopen if model quality improves significantly.</t>
        </is>
      </c>
    </row>
    <row r="21" ht="39.75" customHeight="1" s="48">
      <c r="A21" s="104" t="inlineStr">
        <is>
          <t>Grok-3 / Claude API / OpenAI / any cloud LLM</t>
        </is>
      </c>
      <c r="B21" s="107" t="inlineStr">
        <is>
          <t>OUT (hard)</t>
        </is>
      </c>
      <c r="C21" s="104" t="inlineStr">
        <is>
          <t>Violates project rule 1: 100% local Ollama only. Not negotiable unless the project rule itself is changed.</t>
        </is>
      </c>
    </row>
    <row r="22" ht="39.75" customHeight="1" s="48">
      <c r="A22" s="104" t="inlineStr">
        <is>
          <t>Idea Generation Division (1 idea/wk cap)</t>
        </is>
      </c>
      <c r="B22" s="108" t="inlineStr">
        <is>
          <t>OPTIONAL</t>
        </is>
      </c>
      <c r="C22" s="104" t="inlineStr">
        <is>
          <t>Stage F. Only if CEO explicitly wants additional decision load. Default OFF. Hard cap 1 idea/week with mandatory Critic.</t>
        </is>
      </c>
    </row>
  </sheetData>
  <mergeCells count="3">
    <mergeCell ref="A2:F2"/>
    <mergeCell ref="A11:F1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2026-04-13T21:56:29Z</dcterms:created>
  <dcterms:modified xmlns:dcterms="http://purl.org/dc/terms/" xmlns:xsi="http://www.w3.org/2001/XMLSchema-instance" xsi:type="dcterms:W3CDTF">2026-04-14T00:16:15Z</dcterms:modified>
  <cp:revision>0</cp:revision>
</cp:coreProperties>
</file>